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anie\Desktop\論文\"/>
    </mc:Choice>
  </mc:AlternateContent>
  <xr:revisionPtr revIDLastSave="0" documentId="13_ncr:1_{31226FF6-6E8D-4427-9DAA-43678ED15A53}" xr6:coauthVersionLast="47" xr6:coauthVersionMax="47" xr10:uidLastSave="{00000000-0000-0000-0000-000000000000}"/>
  <bookViews>
    <workbookView minimized="1" xWindow="264" yWindow="276" windowWidth="7524" windowHeight="6012" firstSheet="4" activeTab="4" xr2:uid="{549A6ECB-0C5F-47EC-B470-74EC9B21ABE5}"/>
  </bookViews>
  <sheets>
    <sheet name="理論值" sheetId="5" r:id="rId1"/>
    <sheet name="程式預測" sheetId="1" r:id="rId2"/>
    <sheet name="程式試驗" sheetId="3" r:id="rId3"/>
    <sheet name="田口法" sheetId="4" r:id="rId4"/>
    <sheet name="數據分析" sheetId="2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3" l="1"/>
  <c r="A34" i="3"/>
  <c r="R13" i="5"/>
  <c r="Q13" i="5"/>
  <c r="P13" i="5"/>
  <c r="O13" i="5"/>
  <c r="N13" i="5"/>
  <c r="R10" i="5"/>
  <c r="Q10" i="5"/>
  <c r="P10" i="5"/>
  <c r="O10" i="5"/>
  <c r="N10" i="5"/>
  <c r="L13" i="5"/>
  <c r="K13" i="5"/>
  <c r="J13" i="5"/>
  <c r="I13" i="5"/>
  <c r="H13" i="5"/>
  <c r="L10" i="5"/>
  <c r="K10" i="5"/>
  <c r="J10" i="5"/>
  <c r="I10" i="5"/>
  <c r="H10" i="5"/>
  <c r="F13" i="5"/>
  <c r="E13" i="5"/>
  <c r="D13" i="5"/>
  <c r="C13" i="5"/>
  <c r="B13" i="5"/>
  <c r="F10" i="5"/>
  <c r="E10" i="5"/>
  <c r="D10" i="5"/>
  <c r="C10" i="5"/>
  <c r="B10" i="5"/>
  <c r="J2" i="5"/>
</calcChain>
</file>

<file path=xl/sharedStrings.xml><?xml version="1.0" encoding="utf-8"?>
<sst xmlns="http://schemas.openxmlformats.org/spreadsheetml/2006/main" count="88" uniqueCount="30">
  <si>
    <t>氣壓值</t>
    <phoneticPr fontId="1" type="noConversion"/>
  </si>
  <si>
    <t>X</t>
    <phoneticPr fontId="1" type="noConversion"/>
  </si>
  <si>
    <t>Y</t>
    <phoneticPr fontId="1" type="noConversion"/>
  </si>
  <si>
    <t>程式預測</t>
    <phoneticPr fontId="1" type="noConversion"/>
  </si>
  <si>
    <t>SPCC*1</t>
    <phoneticPr fontId="1" type="noConversion"/>
  </si>
  <si>
    <t>SPCC*1.5</t>
    <phoneticPr fontId="1" type="noConversion"/>
  </si>
  <si>
    <t>SPCC*2</t>
    <phoneticPr fontId="1" type="noConversion"/>
  </si>
  <si>
    <t>SUS撕*1</t>
  </si>
  <si>
    <t>SUS撕*1.5</t>
  </si>
  <si>
    <t>SUS撕*2</t>
  </si>
  <si>
    <t>SUS不撕*1</t>
  </si>
  <si>
    <t>SUS不撕*1.5</t>
  </si>
  <si>
    <t>SUS不撕*2</t>
  </si>
  <si>
    <t>SPCC*2.0</t>
    <phoneticPr fontId="1" type="noConversion"/>
  </si>
  <si>
    <t>SUS撕*2.0</t>
  </si>
  <si>
    <t>SUS不撕*2.0</t>
  </si>
  <si>
    <t>程式</t>
    <phoneticPr fontId="1" type="noConversion"/>
  </si>
  <si>
    <t>試驗</t>
    <phoneticPr fontId="1" type="noConversion"/>
  </si>
  <si>
    <t>MS</t>
    <phoneticPr fontId="1" type="noConversion"/>
  </si>
  <si>
    <t>SS</t>
    <phoneticPr fontId="1" type="noConversion"/>
  </si>
  <si>
    <t>抗拉強度</t>
    <phoneticPr fontId="1" type="noConversion"/>
  </si>
  <si>
    <t>公式</t>
    <phoneticPr fontId="1" type="noConversion"/>
  </si>
  <si>
    <t>厚度</t>
    <phoneticPr fontId="1" type="noConversion"/>
  </si>
  <si>
    <t>t</t>
    <phoneticPr fontId="1" type="noConversion"/>
  </si>
  <si>
    <t>抗拉強度*t^2*L/V*(1+4t/V)</t>
    <phoneticPr fontId="1" type="noConversion"/>
  </si>
  <si>
    <t>SPCC</t>
    <phoneticPr fontId="1" type="noConversion"/>
  </si>
  <si>
    <t>SUS撕</t>
    <phoneticPr fontId="1" type="noConversion"/>
  </si>
  <si>
    <t>刀具(V)</t>
    <phoneticPr fontId="1" type="noConversion"/>
  </si>
  <si>
    <t>g</t>
    <phoneticPr fontId="1" type="noConversion"/>
  </si>
  <si>
    <t>N-&gt;噸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</si>
</sst>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.00_ 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76" fontId="0" fillId="2" borderId="17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76" fontId="0" fillId="3" borderId="20" xfId="0" applyNumberFormat="1" applyFill="1" applyBorder="1" applyAlignment="1">
      <alignment horizontal="center" vertical="center"/>
    </xf>
    <xf numFmtId="176" fontId="0" fillId="3" borderId="25" xfId="0" applyNumberFormat="1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7" borderId="15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177" fontId="0" fillId="4" borderId="15" xfId="0" applyNumberForma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7" fontId="0" fillId="4" borderId="18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/</a:t>
            </a:r>
            <a:r>
              <a:rPr lang="zh-TW" altLang="en-US"/>
              <a:t>不撕</a:t>
            </a:r>
            <a:r>
              <a:rPr lang="en-US" altLang="zh-TW"/>
              <a:t>*1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程式預測!$B$1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程式預測!$B$14:$B$21</c:f>
              <c:numCache>
                <c:formatCode>General</c:formatCode>
                <c:ptCount val="8"/>
                <c:pt idx="0">
                  <c:v>0.18</c:v>
                </c:pt>
                <c:pt idx="1">
                  <c:v>0.24</c:v>
                </c:pt>
                <c:pt idx="2">
                  <c:v>0.28999999999999998</c:v>
                </c:pt>
                <c:pt idx="3">
                  <c:v>0.4</c:v>
                </c:pt>
                <c:pt idx="4">
                  <c:v>0.49</c:v>
                </c:pt>
                <c:pt idx="5">
                  <c:v>0.56000000000000005</c:v>
                </c:pt>
                <c:pt idx="6">
                  <c:v>0.61</c:v>
                </c:pt>
                <c:pt idx="7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37-4D8B-A450-89E035E71581}"/>
            </c:ext>
          </c:extLst>
        </c:ser>
        <c:ser>
          <c:idx val="1"/>
          <c:order val="1"/>
          <c:tx>
            <c:strRef>
              <c:f>程式預測!$C$1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程式預測!$C$14:$C$21</c:f>
              <c:numCache>
                <c:formatCode>General</c:formatCode>
                <c:ptCount val="8"/>
                <c:pt idx="0">
                  <c:v>0.36</c:v>
                </c:pt>
                <c:pt idx="1">
                  <c:v>0.48</c:v>
                </c:pt>
                <c:pt idx="2">
                  <c:v>0.56999999999999995</c:v>
                </c:pt>
                <c:pt idx="3">
                  <c:v>0.8</c:v>
                </c:pt>
                <c:pt idx="4">
                  <c:v>0.99</c:v>
                </c:pt>
                <c:pt idx="5">
                  <c:v>1.1299999999999999</c:v>
                </c:pt>
                <c:pt idx="6">
                  <c:v>1.21</c:v>
                </c:pt>
                <c:pt idx="7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37-4D8B-A450-89E035E71581}"/>
            </c:ext>
          </c:extLst>
        </c:ser>
        <c:ser>
          <c:idx val="2"/>
          <c:order val="2"/>
          <c:tx>
            <c:strRef>
              <c:f>程式預測!$D$1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程式預測!$D$14:$D$21</c:f>
              <c:numCache>
                <c:formatCode>General</c:formatCode>
                <c:ptCount val="8"/>
                <c:pt idx="0">
                  <c:v>0.54</c:v>
                </c:pt>
                <c:pt idx="1">
                  <c:v>0.72</c:v>
                </c:pt>
                <c:pt idx="2">
                  <c:v>0.86</c:v>
                </c:pt>
                <c:pt idx="3">
                  <c:v>1.2</c:v>
                </c:pt>
                <c:pt idx="4">
                  <c:v>1.48</c:v>
                </c:pt>
                <c:pt idx="5">
                  <c:v>1.69</c:v>
                </c:pt>
                <c:pt idx="6">
                  <c:v>1.82</c:v>
                </c:pt>
                <c:pt idx="7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37-4D8B-A450-89E035E71581}"/>
            </c:ext>
          </c:extLst>
        </c:ser>
        <c:ser>
          <c:idx val="3"/>
          <c:order val="3"/>
          <c:tx>
            <c:strRef>
              <c:f>程式預測!$E$1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程式預測!$E$14:$E$21</c:f>
              <c:numCache>
                <c:formatCode>General</c:formatCode>
                <c:ptCount val="8"/>
                <c:pt idx="0">
                  <c:v>0.73</c:v>
                </c:pt>
                <c:pt idx="1">
                  <c:v>0.95</c:v>
                </c:pt>
                <c:pt idx="2">
                  <c:v>1.1399999999999999</c:v>
                </c:pt>
                <c:pt idx="3">
                  <c:v>1.6</c:v>
                </c:pt>
                <c:pt idx="4">
                  <c:v>1.97</c:v>
                </c:pt>
                <c:pt idx="5">
                  <c:v>2.2599999999999998</c:v>
                </c:pt>
                <c:pt idx="6">
                  <c:v>2.4300000000000002</c:v>
                </c:pt>
                <c:pt idx="7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37-4D8B-A450-89E035E71581}"/>
            </c:ext>
          </c:extLst>
        </c:ser>
        <c:ser>
          <c:idx val="4"/>
          <c:order val="4"/>
          <c:tx>
            <c:strRef>
              <c:f>程式預測!$F$1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程式預測!$F$14:$F$21</c:f>
              <c:numCache>
                <c:formatCode>General</c:formatCode>
                <c:ptCount val="8"/>
                <c:pt idx="0">
                  <c:v>0.91</c:v>
                </c:pt>
                <c:pt idx="1">
                  <c:v>1.19</c:v>
                </c:pt>
                <c:pt idx="2">
                  <c:v>1.43</c:v>
                </c:pt>
                <c:pt idx="3">
                  <c:v>2</c:v>
                </c:pt>
                <c:pt idx="4">
                  <c:v>2.4700000000000002</c:v>
                </c:pt>
                <c:pt idx="5">
                  <c:v>2.82</c:v>
                </c:pt>
                <c:pt idx="6">
                  <c:v>3.03</c:v>
                </c:pt>
                <c:pt idx="7">
                  <c:v>3.12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37-4D8B-A450-89E035E7158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/</a:t>
            </a:r>
            <a:r>
              <a:rPr lang="zh-TW" altLang="en-US"/>
              <a:t>不撕</a:t>
            </a:r>
            <a:r>
              <a:rPr lang="en-US" altLang="zh-TW"/>
              <a:t>*1.5</a:t>
            </a:r>
            <a:endParaRPr lang="zh-TW" altLang="en-US"/>
          </a:p>
        </c:rich>
      </c:tx>
      <c:layout>
        <c:manualLayout>
          <c:xMode val="edge"/>
          <c:yMode val="edge"/>
          <c:x val="0.4244444444444444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程式預測!$H$1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程式預測!$H$14:$H$21</c:f>
              <c:numCache>
                <c:formatCode>General</c:formatCode>
                <c:ptCount val="8"/>
                <c:pt idx="0">
                  <c:v>0.34</c:v>
                </c:pt>
                <c:pt idx="1">
                  <c:v>0.44</c:v>
                </c:pt>
                <c:pt idx="2">
                  <c:v>0.53</c:v>
                </c:pt>
                <c:pt idx="3">
                  <c:v>0.73</c:v>
                </c:pt>
                <c:pt idx="4">
                  <c:v>0.88</c:v>
                </c:pt>
                <c:pt idx="5">
                  <c:v>0.99</c:v>
                </c:pt>
                <c:pt idx="6">
                  <c:v>1.05</c:v>
                </c:pt>
                <c:pt idx="7">
                  <c:v>1.06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9E-46D3-8630-049873EEDF19}"/>
            </c:ext>
          </c:extLst>
        </c:ser>
        <c:ser>
          <c:idx val="1"/>
          <c:order val="1"/>
          <c:tx>
            <c:strRef>
              <c:f>程式預測!$I$1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程式預測!$I$14:$I$21</c:f>
              <c:numCache>
                <c:formatCode>General</c:formatCode>
                <c:ptCount val="8"/>
                <c:pt idx="0">
                  <c:v>0.67</c:v>
                </c:pt>
                <c:pt idx="1">
                  <c:v>0.88</c:v>
                </c:pt>
                <c:pt idx="2">
                  <c:v>1.05</c:v>
                </c:pt>
                <c:pt idx="3">
                  <c:v>1.46</c:v>
                </c:pt>
                <c:pt idx="4">
                  <c:v>1.77</c:v>
                </c:pt>
                <c:pt idx="5">
                  <c:v>1.99</c:v>
                </c:pt>
                <c:pt idx="6">
                  <c:v>2.1</c:v>
                </c:pt>
                <c:pt idx="7">
                  <c:v>2.11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9E-46D3-8630-049873EEDF19}"/>
            </c:ext>
          </c:extLst>
        </c:ser>
        <c:ser>
          <c:idx val="2"/>
          <c:order val="2"/>
          <c:tx>
            <c:strRef>
              <c:f>程式預測!$J$1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程式預測!$J$14:$J$21</c:f>
              <c:numCache>
                <c:formatCode>General</c:formatCode>
                <c:ptCount val="8"/>
                <c:pt idx="0">
                  <c:v>1.01</c:v>
                </c:pt>
                <c:pt idx="1">
                  <c:v>1.32</c:v>
                </c:pt>
                <c:pt idx="2">
                  <c:v>1.58</c:v>
                </c:pt>
                <c:pt idx="3">
                  <c:v>2.19</c:v>
                </c:pt>
                <c:pt idx="4">
                  <c:v>2.65</c:v>
                </c:pt>
                <c:pt idx="5">
                  <c:v>2.98</c:v>
                </c:pt>
                <c:pt idx="6">
                  <c:v>3.15</c:v>
                </c:pt>
                <c:pt idx="7">
                  <c:v>3.17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9E-46D3-8630-049873EEDF19}"/>
            </c:ext>
          </c:extLst>
        </c:ser>
        <c:ser>
          <c:idx val="3"/>
          <c:order val="3"/>
          <c:tx>
            <c:strRef>
              <c:f>程式預測!$K$1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程式預測!$K$14:$K$21</c:f>
              <c:numCache>
                <c:formatCode>General</c:formatCode>
                <c:ptCount val="8"/>
                <c:pt idx="0">
                  <c:v>1.34</c:v>
                </c:pt>
                <c:pt idx="1">
                  <c:v>1.77</c:v>
                </c:pt>
                <c:pt idx="2">
                  <c:v>2.1</c:v>
                </c:pt>
                <c:pt idx="3">
                  <c:v>2.92</c:v>
                </c:pt>
                <c:pt idx="4">
                  <c:v>3.54</c:v>
                </c:pt>
                <c:pt idx="5">
                  <c:v>3.98</c:v>
                </c:pt>
                <c:pt idx="6">
                  <c:v>4.2</c:v>
                </c:pt>
                <c:pt idx="7">
                  <c:v>4.22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9E-46D3-8630-049873EEDF19}"/>
            </c:ext>
          </c:extLst>
        </c:ser>
        <c:ser>
          <c:idx val="4"/>
          <c:order val="4"/>
          <c:tx>
            <c:strRef>
              <c:f>程式預測!$L$1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程式預測!$L$14:$L$21</c:f>
              <c:numCache>
                <c:formatCode>General</c:formatCode>
                <c:ptCount val="8"/>
                <c:pt idx="0">
                  <c:v>1.68</c:v>
                </c:pt>
                <c:pt idx="1">
                  <c:v>2.21</c:v>
                </c:pt>
                <c:pt idx="2">
                  <c:v>2.63</c:v>
                </c:pt>
                <c:pt idx="3">
                  <c:v>3.65</c:v>
                </c:pt>
                <c:pt idx="4">
                  <c:v>4.42</c:v>
                </c:pt>
                <c:pt idx="5">
                  <c:v>4.97</c:v>
                </c:pt>
                <c:pt idx="6">
                  <c:v>5.25</c:v>
                </c:pt>
                <c:pt idx="7">
                  <c:v>5.28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9E-46D3-8630-049873EEDF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/</a:t>
            </a:r>
            <a:r>
              <a:rPr lang="zh-TW" altLang="en-US"/>
              <a:t>不撕</a:t>
            </a:r>
            <a:r>
              <a:rPr lang="en-US" altLang="zh-TW"/>
              <a:t>*2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程式預測!$N$1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程式預測!$N$14:$N$21</c:f>
              <c:numCache>
                <c:formatCode>General</c:formatCode>
                <c:ptCount val="8"/>
                <c:pt idx="0">
                  <c:v>0.48</c:v>
                </c:pt>
                <c:pt idx="1">
                  <c:v>0.64</c:v>
                </c:pt>
                <c:pt idx="2">
                  <c:v>0.76</c:v>
                </c:pt>
                <c:pt idx="3">
                  <c:v>1.06</c:v>
                </c:pt>
                <c:pt idx="4">
                  <c:v>1.3</c:v>
                </c:pt>
                <c:pt idx="5">
                  <c:v>1.47</c:v>
                </c:pt>
                <c:pt idx="6">
                  <c:v>1.56</c:v>
                </c:pt>
                <c:pt idx="7">
                  <c:v>1.59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B-4128-8955-D4363F92BBA4}"/>
            </c:ext>
          </c:extLst>
        </c:ser>
        <c:ser>
          <c:idx val="1"/>
          <c:order val="1"/>
          <c:tx>
            <c:strRef>
              <c:f>程式預測!$O$1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程式預測!$O$14:$O$21</c:f>
              <c:numCache>
                <c:formatCode>General</c:formatCode>
                <c:ptCount val="8"/>
                <c:pt idx="0">
                  <c:v>0.97</c:v>
                </c:pt>
                <c:pt idx="1">
                  <c:v>1.27</c:v>
                </c:pt>
                <c:pt idx="2">
                  <c:v>1.52</c:v>
                </c:pt>
                <c:pt idx="3">
                  <c:v>2.12</c:v>
                </c:pt>
                <c:pt idx="4">
                  <c:v>2.59</c:v>
                </c:pt>
                <c:pt idx="5">
                  <c:v>2.94</c:v>
                </c:pt>
                <c:pt idx="6">
                  <c:v>3.13</c:v>
                </c:pt>
                <c:pt idx="7">
                  <c:v>3.18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2B-4128-8955-D4363F92BBA4}"/>
            </c:ext>
          </c:extLst>
        </c:ser>
        <c:ser>
          <c:idx val="2"/>
          <c:order val="2"/>
          <c:tx>
            <c:strRef>
              <c:f>程式預測!$P$1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程式預測!$P$14:$P$21</c:f>
              <c:numCache>
                <c:formatCode>General</c:formatCode>
                <c:ptCount val="8"/>
                <c:pt idx="0">
                  <c:v>1.54</c:v>
                </c:pt>
                <c:pt idx="1">
                  <c:v>1.91</c:v>
                </c:pt>
                <c:pt idx="2">
                  <c:v>2.2799999999999998</c:v>
                </c:pt>
                <c:pt idx="3">
                  <c:v>3.18</c:v>
                </c:pt>
                <c:pt idx="4">
                  <c:v>3.89</c:v>
                </c:pt>
                <c:pt idx="5">
                  <c:v>4.4000000000000004</c:v>
                </c:pt>
                <c:pt idx="6">
                  <c:v>4.6900000000000004</c:v>
                </c:pt>
                <c:pt idx="7">
                  <c:v>4.7699999999999996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2B-4128-8955-D4363F92BBA4}"/>
            </c:ext>
          </c:extLst>
        </c:ser>
        <c:ser>
          <c:idx val="3"/>
          <c:order val="3"/>
          <c:tx>
            <c:strRef>
              <c:f>程式預測!$Q$1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程式預測!$Q$14:$Q$21</c:f>
              <c:numCache>
                <c:formatCode>General</c:formatCode>
                <c:ptCount val="8"/>
                <c:pt idx="0">
                  <c:v>1.93</c:v>
                </c:pt>
                <c:pt idx="1">
                  <c:v>2.5499999999999998</c:v>
                </c:pt>
                <c:pt idx="2">
                  <c:v>3.04</c:v>
                </c:pt>
                <c:pt idx="3">
                  <c:v>4.24</c:v>
                </c:pt>
                <c:pt idx="4">
                  <c:v>5.18</c:v>
                </c:pt>
                <c:pt idx="5">
                  <c:v>5.87</c:v>
                </c:pt>
                <c:pt idx="6">
                  <c:v>6.25</c:v>
                </c:pt>
                <c:pt idx="7">
                  <c:v>6.36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2B-4128-8955-D4363F92BBA4}"/>
            </c:ext>
          </c:extLst>
        </c:ser>
        <c:ser>
          <c:idx val="4"/>
          <c:order val="4"/>
          <c:tx>
            <c:strRef>
              <c:f>程式預測!$R$1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程式預測!$R$14:$R$21</c:f>
              <c:numCache>
                <c:formatCode>General</c:formatCode>
                <c:ptCount val="8"/>
                <c:pt idx="0">
                  <c:v>2.42</c:v>
                </c:pt>
                <c:pt idx="1">
                  <c:v>3.18</c:v>
                </c:pt>
                <c:pt idx="2">
                  <c:v>3.8</c:v>
                </c:pt>
                <c:pt idx="3">
                  <c:v>5.3</c:v>
                </c:pt>
                <c:pt idx="4">
                  <c:v>6.48</c:v>
                </c:pt>
                <c:pt idx="5">
                  <c:v>7.34</c:v>
                </c:pt>
                <c:pt idx="6">
                  <c:v>7.82</c:v>
                </c:pt>
                <c:pt idx="7">
                  <c:v>7.94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2B-4128-8955-D4363F92BBA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程式預測!$B$1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程式預測!$B$4:$B$11</c:f>
              <c:numCache>
                <c:formatCode>General</c:formatCode>
                <c:ptCount val="8"/>
                <c:pt idx="0">
                  <c:v>0.16</c:v>
                </c:pt>
                <c:pt idx="1">
                  <c:v>0.21</c:v>
                </c:pt>
                <c:pt idx="2">
                  <c:v>0.24</c:v>
                </c:pt>
                <c:pt idx="3">
                  <c:v>0.32</c:v>
                </c:pt>
                <c:pt idx="4">
                  <c:v>0.38</c:v>
                </c:pt>
                <c:pt idx="5">
                  <c:v>0.43</c:v>
                </c:pt>
                <c:pt idx="6">
                  <c:v>0.45</c:v>
                </c:pt>
                <c:pt idx="7">
                  <c:v>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24-4956-A03E-C6594B09CC02}"/>
            </c:ext>
          </c:extLst>
        </c:ser>
        <c:ser>
          <c:idx val="1"/>
          <c:order val="1"/>
          <c:tx>
            <c:strRef>
              <c:f>程式預測!$C$1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程式預測!$C$4:$C$11</c:f>
              <c:numCache>
                <c:formatCode>General</c:formatCode>
                <c:ptCount val="8"/>
                <c:pt idx="0">
                  <c:v>0.33</c:v>
                </c:pt>
                <c:pt idx="1">
                  <c:v>0.41</c:v>
                </c:pt>
                <c:pt idx="2">
                  <c:v>0.48</c:v>
                </c:pt>
                <c:pt idx="3">
                  <c:v>0.64</c:v>
                </c:pt>
                <c:pt idx="4">
                  <c:v>0.76</c:v>
                </c:pt>
                <c:pt idx="5">
                  <c:v>0.85</c:v>
                </c:pt>
                <c:pt idx="6">
                  <c:v>0.9</c:v>
                </c:pt>
                <c:pt idx="7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24-4956-A03E-C6594B09CC02}"/>
            </c:ext>
          </c:extLst>
        </c:ser>
        <c:ser>
          <c:idx val="2"/>
          <c:order val="2"/>
          <c:tx>
            <c:strRef>
              <c:f>程式預測!$D$1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程式預測!$D$4:$D$11</c:f>
              <c:numCache>
                <c:formatCode>General</c:formatCode>
                <c:ptCount val="8"/>
                <c:pt idx="0">
                  <c:v>0.49</c:v>
                </c:pt>
                <c:pt idx="1">
                  <c:v>0.62</c:v>
                </c:pt>
                <c:pt idx="2">
                  <c:v>0.72</c:v>
                </c:pt>
                <c:pt idx="3">
                  <c:v>0.96</c:v>
                </c:pt>
                <c:pt idx="4">
                  <c:v>1.1399999999999999</c:v>
                </c:pt>
                <c:pt idx="5">
                  <c:v>1.28</c:v>
                </c:pt>
                <c:pt idx="6">
                  <c:v>1.35</c:v>
                </c:pt>
                <c:pt idx="7">
                  <c:v>1.38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24-4956-A03E-C6594B09CC02}"/>
            </c:ext>
          </c:extLst>
        </c:ser>
        <c:ser>
          <c:idx val="3"/>
          <c:order val="3"/>
          <c:tx>
            <c:strRef>
              <c:f>程式預測!$E$1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程式預測!$E$4:$E$11</c:f>
              <c:numCache>
                <c:formatCode>General</c:formatCode>
                <c:ptCount val="8"/>
                <c:pt idx="0">
                  <c:v>0.65</c:v>
                </c:pt>
                <c:pt idx="1">
                  <c:v>0.82</c:v>
                </c:pt>
                <c:pt idx="2">
                  <c:v>0.96</c:v>
                </c:pt>
                <c:pt idx="3">
                  <c:v>1.28</c:v>
                </c:pt>
                <c:pt idx="4">
                  <c:v>1.52</c:v>
                </c:pt>
                <c:pt idx="5">
                  <c:v>1.7</c:v>
                </c:pt>
                <c:pt idx="6">
                  <c:v>1.8</c:v>
                </c:pt>
                <c:pt idx="7">
                  <c:v>1.84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24-4956-A03E-C6594B09CC02}"/>
            </c:ext>
          </c:extLst>
        </c:ser>
        <c:ser>
          <c:idx val="4"/>
          <c:order val="4"/>
          <c:tx>
            <c:strRef>
              <c:f>程式預測!$F$1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程式預測!$F$4:$F$11</c:f>
              <c:numCache>
                <c:formatCode>General</c:formatCode>
                <c:ptCount val="8"/>
                <c:pt idx="0">
                  <c:v>0.82</c:v>
                </c:pt>
                <c:pt idx="1">
                  <c:v>1.03</c:v>
                </c:pt>
                <c:pt idx="2">
                  <c:v>1.2</c:v>
                </c:pt>
                <c:pt idx="3">
                  <c:v>1.6</c:v>
                </c:pt>
                <c:pt idx="4">
                  <c:v>1.9</c:v>
                </c:pt>
                <c:pt idx="5">
                  <c:v>2.13</c:v>
                </c:pt>
                <c:pt idx="6">
                  <c:v>2.25</c:v>
                </c:pt>
                <c:pt idx="7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24-4956-A03E-C6594B09CC0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SPCC*1.5</a:t>
            </a:r>
            <a:endParaRPr lang="zh-TW" altLang="en-US"/>
          </a:p>
        </c:rich>
      </c:tx>
      <c:layout>
        <c:manualLayout>
          <c:xMode val="edge"/>
          <c:yMode val="edge"/>
          <c:x val="0.4244444444444444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程式預測!$H$1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程式預測!$H$4:$H$11</c:f>
              <c:numCache>
                <c:formatCode>General</c:formatCode>
                <c:ptCount val="8"/>
                <c:pt idx="0">
                  <c:v>0.3</c:v>
                </c:pt>
                <c:pt idx="1">
                  <c:v>0.38</c:v>
                </c:pt>
                <c:pt idx="2">
                  <c:v>0.44</c:v>
                </c:pt>
                <c:pt idx="3">
                  <c:v>0.57999999999999996</c:v>
                </c:pt>
                <c:pt idx="4">
                  <c:v>0.68</c:v>
                </c:pt>
                <c:pt idx="5">
                  <c:v>0.74</c:v>
                </c:pt>
                <c:pt idx="6">
                  <c:v>0.77</c:v>
                </c:pt>
                <c:pt idx="7">
                  <c:v>0.77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45-40B6-8832-8E3B2F7B3933}"/>
            </c:ext>
          </c:extLst>
        </c:ser>
        <c:ser>
          <c:idx val="1"/>
          <c:order val="1"/>
          <c:tx>
            <c:strRef>
              <c:f>程式預測!$I$1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程式預測!$I$4:$I$11</c:f>
              <c:numCache>
                <c:formatCode>General</c:formatCode>
                <c:ptCount val="8"/>
                <c:pt idx="0">
                  <c:v>0.6</c:v>
                </c:pt>
                <c:pt idx="1">
                  <c:v>0.76</c:v>
                </c:pt>
                <c:pt idx="2">
                  <c:v>0.88</c:v>
                </c:pt>
                <c:pt idx="3">
                  <c:v>1.1499999999999999</c:v>
                </c:pt>
                <c:pt idx="4">
                  <c:v>1.36</c:v>
                </c:pt>
                <c:pt idx="5">
                  <c:v>1.49</c:v>
                </c:pt>
                <c:pt idx="6">
                  <c:v>1.54</c:v>
                </c:pt>
                <c:pt idx="7">
                  <c:v>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45-40B6-8832-8E3B2F7B3933}"/>
            </c:ext>
          </c:extLst>
        </c:ser>
        <c:ser>
          <c:idx val="2"/>
          <c:order val="2"/>
          <c:tx>
            <c:strRef>
              <c:f>程式預測!$J$1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程式預測!$J$4:$J$11</c:f>
              <c:numCache>
                <c:formatCode>General</c:formatCode>
                <c:ptCount val="8"/>
                <c:pt idx="0">
                  <c:v>0.9</c:v>
                </c:pt>
                <c:pt idx="1">
                  <c:v>1.1299999999999999</c:v>
                </c:pt>
                <c:pt idx="2">
                  <c:v>1.32</c:v>
                </c:pt>
                <c:pt idx="3">
                  <c:v>1.73</c:v>
                </c:pt>
                <c:pt idx="4">
                  <c:v>2.0299999999999998</c:v>
                </c:pt>
                <c:pt idx="5">
                  <c:v>2.23</c:v>
                </c:pt>
                <c:pt idx="6">
                  <c:v>2.31</c:v>
                </c:pt>
                <c:pt idx="7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45-40B6-8832-8E3B2F7B3933}"/>
            </c:ext>
          </c:extLst>
        </c:ser>
        <c:ser>
          <c:idx val="3"/>
          <c:order val="3"/>
          <c:tx>
            <c:strRef>
              <c:f>程式預測!$K$1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程式預測!$K$4:$K$11</c:f>
              <c:numCache>
                <c:formatCode>General</c:formatCode>
                <c:ptCount val="8"/>
                <c:pt idx="0">
                  <c:v>1.2</c:v>
                </c:pt>
                <c:pt idx="1">
                  <c:v>1.51</c:v>
                </c:pt>
                <c:pt idx="2">
                  <c:v>1.75</c:v>
                </c:pt>
                <c:pt idx="3">
                  <c:v>2.31</c:v>
                </c:pt>
                <c:pt idx="4">
                  <c:v>2.71</c:v>
                </c:pt>
                <c:pt idx="5">
                  <c:v>2.98</c:v>
                </c:pt>
                <c:pt idx="6">
                  <c:v>3.09</c:v>
                </c:pt>
                <c:pt idx="7">
                  <c:v>3.07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45-40B6-8832-8E3B2F7B3933}"/>
            </c:ext>
          </c:extLst>
        </c:ser>
        <c:ser>
          <c:idx val="4"/>
          <c:order val="4"/>
          <c:tx>
            <c:strRef>
              <c:f>程式預測!$L$1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程式預測!$L$4:$L$11</c:f>
              <c:numCache>
                <c:formatCode>General</c:formatCode>
                <c:ptCount val="8"/>
                <c:pt idx="0">
                  <c:v>1.5</c:v>
                </c:pt>
                <c:pt idx="1">
                  <c:v>1.89</c:v>
                </c:pt>
                <c:pt idx="2">
                  <c:v>2.19</c:v>
                </c:pt>
                <c:pt idx="3">
                  <c:v>2.88</c:v>
                </c:pt>
                <c:pt idx="4">
                  <c:v>3.39</c:v>
                </c:pt>
                <c:pt idx="5">
                  <c:v>3.72</c:v>
                </c:pt>
                <c:pt idx="6">
                  <c:v>3.86</c:v>
                </c:pt>
                <c:pt idx="7">
                  <c:v>3.83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45-40B6-8832-8E3B2F7B39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程式預測!$N$1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程式預測!$N$4:$N$11</c:f>
              <c:numCache>
                <c:formatCode>General</c:formatCode>
                <c:ptCount val="8"/>
                <c:pt idx="0">
                  <c:v>0.43</c:v>
                </c:pt>
                <c:pt idx="1">
                  <c:v>0.54</c:v>
                </c:pt>
                <c:pt idx="2">
                  <c:v>0.63</c:v>
                </c:pt>
                <c:pt idx="3">
                  <c:v>0.84</c:v>
                </c:pt>
                <c:pt idx="4">
                  <c:v>0.99</c:v>
                </c:pt>
                <c:pt idx="5">
                  <c:v>1.0900000000000001</c:v>
                </c:pt>
                <c:pt idx="6">
                  <c:v>1.1399999999999999</c:v>
                </c:pt>
                <c:pt idx="7">
                  <c:v>1.1399999999999999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D-4B1B-B99B-E2442F4293E9}"/>
            </c:ext>
          </c:extLst>
        </c:ser>
        <c:ser>
          <c:idx val="1"/>
          <c:order val="1"/>
          <c:tx>
            <c:strRef>
              <c:f>程式預測!$O$1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程式預測!$O$4:$O$11</c:f>
              <c:numCache>
                <c:formatCode>General</c:formatCode>
                <c:ptCount val="8"/>
                <c:pt idx="0">
                  <c:v>0.86</c:v>
                </c:pt>
                <c:pt idx="1">
                  <c:v>1.0900000000000001</c:v>
                </c:pt>
                <c:pt idx="2">
                  <c:v>1.26</c:v>
                </c:pt>
                <c:pt idx="3">
                  <c:v>1.67</c:v>
                </c:pt>
                <c:pt idx="4">
                  <c:v>1.98</c:v>
                </c:pt>
                <c:pt idx="5">
                  <c:v>2.1800000000000002</c:v>
                </c:pt>
                <c:pt idx="6">
                  <c:v>2.2799999999999998</c:v>
                </c:pt>
                <c:pt idx="7">
                  <c:v>2.2799999999999998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8D-4B1B-B99B-E2442F4293E9}"/>
            </c:ext>
          </c:extLst>
        </c:ser>
        <c:ser>
          <c:idx val="2"/>
          <c:order val="2"/>
          <c:tx>
            <c:strRef>
              <c:f>程式預測!$P$1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程式預測!$P$4:$P$11</c:f>
              <c:numCache>
                <c:formatCode>General</c:formatCode>
                <c:ptCount val="8"/>
                <c:pt idx="0">
                  <c:v>1.29</c:v>
                </c:pt>
                <c:pt idx="1">
                  <c:v>1.63</c:v>
                </c:pt>
                <c:pt idx="2">
                  <c:v>1.89</c:v>
                </c:pt>
                <c:pt idx="3">
                  <c:v>2.5099999999999998</c:v>
                </c:pt>
                <c:pt idx="4">
                  <c:v>2.96</c:v>
                </c:pt>
                <c:pt idx="5">
                  <c:v>3.28</c:v>
                </c:pt>
                <c:pt idx="6">
                  <c:v>3.42</c:v>
                </c:pt>
                <c:pt idx="7">
                  <c:v>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8D-4B1B-B99B-E2442F4293E9}"/>
            </c:ext>
          </c:extLst>
        </c:ser>
        <c:ser>
          <c:idx val="3"/>
          <c:order val="3"/>
          <c:tx>
            <c:strRef>
              <c:f>程式預測!$Q$1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程式預測!$Q$4:$Q$11</c:f>
              <c:numCache>
                <c:formatCode>General</c:formatCode>
                <c:ptCount val="8"/>
                <c:pt idx="0">
                  <c:v>1.72</c:v>
                </c:pt>
                <c:pt idx="1">
                  <c:v>2.17</c:v>
                </c:pt>
                <c:pt idx="2">
                  <c:v>2.52</c:v>
                </c:pt>
                <c:pt idx="3">
                  <c:v>3.34</c:v>
                </c:pt>
                <c:pt idx="4">
                  <c:v>3.95</c:v>
                </c:pt>
                <c:pt idx="5">
                  <c:v>4.37</c:v>
                </c:pt>
                <c:pt idx="6">
                  <c:v>4.5599999999999996</c:v>
                </c:pt>
                <c:pt idx="7">
                  <c:v>4.57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8D-4B1B-B99B-E2442F4293E9}"/>
            </c:ext>
          </c:extLst>
        </c:ser>
        <c:ser>
          <c:idx val="4"/>
          <c:order val="4"/>
          <c:tx>
            <c:strRef>
              <c:f>程式預測!$R$1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程式預測!$R$4:$R$11</c:f>
              <c:numCache>
                <c:formatCode>General</c:formatCode>
                <c:ptCount val="8"/>
                <c:pt idx="0">
                  <c:v>2.16</c:v>
                </c:pt>
                <c:pt idx="1">
                  <c:v>2.72</c:v>
                </c:pt>
                <c:pt idx="2">
                  <c:v>3.15</c:v>
                </c:pt>
                <c:pt idx="3">
                  <c:v>4.18</c:v>
                </c:pt>
                <c:pt idx="4">
                  <c:v>4.9400000000000004</c:v>
                </c:pt>
                <c:pt idx="5">
                  <c:v>5.46</c:v>
                </c:pt>
                <c:pt idx="6">
                  <c:v>5.71</c:v>
                </c:pt>
                <c:pt idx="7">
                  <c:v>5.71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8D-4B1B-B99B-E2442F4293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程式試驗!$A$1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程式試驗!$A$4:$A$8</c:f>
              <c:numCache>
                <c:formatCode>General</c:formatCode>
                <c:ptCount val="5"/>
                <c:pt idx="0">
                  <c:v>3.6</c:v>
                </c:pt>
                <c:pt idx="1">
                  <c:v>19</c:v>
                </c:pt>
                <c:pt idx="2">
                  <c:v>35.6</c:v>
                </c:pt>
                <c:pt idx="3">
                  <c:v>58</c:v>
                </c:pt>
                <c:pt idx="4">
                  <c:v>93.5</c:v>
                </c:pt>
              </c:numCache>
            </c:numRef>
          </c:xVal>
          <c:yVal>
            <c:numRef>
              <c:f>程式試驗!$B$4:$B$8</c:f>
              <c:numCache>
                <c:formatCode>General</c:formatCode>
                <c:ptCount val="5"/>
                <c:pt idx="0">
                  <c:v>7.0000000000000007E-2</c:v>
                </c:pt>
                <c:pt idx="1">
                  <c:v>0.21</c:v>
                </c:pt>
                <c:pt idx="2">
                  <c:v>0.24</c:v>
                </c:pt>
                <c:pt idx="3">
                  <c:v>0.32</c:v>
                </c:pt>
                <c:pt idx="4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F8-4361-8636-ABA42AB3EFB6}"/>
            </c:ext>
          </c:extLst>
        </c:ser>
        <c:ser>
          <c:idx val="1"/>
          <c:order val="1"/>
          <c:tx>
            <c:strRef>
              <c:f>程式試驗!$C$1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程式試驗!$C$4:$C$8</c:f>
              <c:numCache>
                <c:formatCode>General</c:formatCode>
                <c:ptCount val="5"/>
                <c:pt idx="0">
                  <c:v>8</c:v>
                </c:pt>
                <c:pt idx="1">
                  <c:v>12.8</c:v>
                </c:pt>
                <c:pt idx="2">
                  <c:v>17.5</c:v>
                </c:pt>
                <c:pt idx="3">
                  <c:v>36.9</c:v>
                </c:pt>
                <c:pt idx="4">
                  <c:v>92</c:v>
                </c:pt>
              </c:numCache>
            </c:numRef>
          </c:xVal>
          <c:yVal>
            <c:numRef>
              <c:f>程式試驗!$D$4:$D$8</c:f>
              <c:numCache>
                <c:formatCode>General</c:formatCode>
                <c:ptCount val="5"/>
                <c:pt idx="0">
                  <c:v>0.33</c:v>
                </c:pt>
                <c:pt idx="1">
                  <c:v>0.41</c:v>
                </c:pt>
                <c:pt idx="2">
                  <c:v>0.48</c:v>
                </c:pt>
                <c:pt idx="3">
                  <c:v>0.64</c:v>
                </c:pt>
                <c:pt idx="4">
                  <c:v>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F8-4361-8636-ABA42AB3EFB6}"/>
            </c:ext>
          </c:extLst>
        </c:ser>
        <c:ser>
          <c:idx val="2"/>
          <c:order val="2"/>
          <c:tx>
            <c:strRef>
              <c:f>程式試驗!$E$1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程式試驗!$E$4:$E$10</c:f>
              <c:numCache>
                <c:formatCode>General</c:formatCode>
                <c:ptCount val="7"/>
                <c:pt idx="0">
                  <c:v>8</c:v>
                </c:pt>
                <c:pt idx="1">
                  <c:v>12.5</c:v>
                </c:pt>
                <c:pt idx="2">
                  <c:v>17.399999999999999</c:v>
                </c:pt>
                <c:pt idx="3">
                  <c:v>32.1</c:v>
                </c:pt>
                <c:pt idx="4">
                  <c:v>46.8</c:v>
                </c:pt>
                <c:pt idx="5">
                  <c:v>72.7</c:v>
                </c:pt>
                <c:pt idx="6">
                  <c:v>91.8</c:v>
                </c:pt>
              </c:numCache>
            </c:numRef>
          </c:xVal>
          <c:yVal>
            <c:numRef>
              <c:f>程式試驗!$F$4:$F$10</c:f>
              <c:numCache>
                <c:formatCode>General</c:formatCode>
                <c:ptCount val="7"/>
                <c:pt idx="0">
                  <c:v>0.64</c:v>
                </c:pt>
                <c:pt idx="1">
                  <c:v>0.73</c:v>
                </c:pt>
                <c:pt idx="2">
                  <c:v>0.75</c:v>
                </c:pt>
                <c:pt idx="3">
                  <c:v>0.96</c:v>
                </c:pt>
                <c:pt idx="4">
                  <c:v>1.1399999999999999</c:v>
                </c:pt>
                <c:pt idx="5">
                  <c:v>1.28</c:v>
                </c:pt>
                <c:pt idx="6">
                  <c:v>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F8-4361-8636-ABA42AB3EFB6}"/>
            </c:ext>
          </c:extLst>
        </c:ser>
        <c:ser>
          <c:idx val="3"/>
          <c:order val="3"/>
          <c:tx>
            <c:strRef>
              <c:f>程式試驗!$G$1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程式試驗!$G$4:$G$10</c:f>
              <c:numCache>
                <c:formatCode>General</c:formatCode>
                <c:ptCount val="7"/>
                <c:pt idx="0">
                  <c:v>7.9</c:v>
                </c:pt>
                <c:pt idx="1">
                  <c:v>12.5</c:v>
                </c:pt>
                <c:pt idx="2">
                  <c:v>17.100000000000001</c:v>
                </c:pt>
                <c:pt idx="3">
                  <c:v>31.9</c:v>
                </c:pt>
                <c:pt idx="4">
                  <c:v>46.9</c:v>
                </c:pt>
                <c:pt idx="5">
                  <c:v>68.5</c:v>
                </c:pt>
                <c:pt idx="6">
                  <c:v>92.1</c:v>
                </c:pt>
              </c:numCache>
            </c:numRef>
          </c:xVal>
          <c:yVal>
            <c:numRef>
              <c:f>程式試驗!$H$4:$H$10</c:f>
              <c:numCache>
                <c:formatCode>General</c:formatCode>
                <c:ptCount val="7"/>
                <c:pt idx="0">
                  <c:v>0.9</c:v>
                </c:pt>
                <c:pt idx="1">
                  <c:v>1.05</c:v>
                </c:pt>
                <c:pt idx="2">
                  <c:v>1.1399999999999999</c:v>
                </c:pt>
                <c:pt idx="3">
                  <c:v>1.35</c:v>
                </c:pt>
                <c:pt idx="4">
                  <c:v>1.52</c:v>
                </c:pt>
                <c:pt idx="5">
                  <c:v>1.7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F8-4361-8636-ABA42AB3EFB6}"/>
            </c:ext>
          </c:extLst>
        </c:ser>
        <c:ser>
          <c:idx val="4"/>
          <c:order val="4"/>
          <c:tx>
            <c:strRef>
              <c:f>程式試驗!$I$1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程式試驗!$I$4:$I$10</c:f>
              <c:numCache>
                <c:formatCode>General</c:formatCode>
                <c:ptCount val="7"/>
                <c:pt idx="0">
                  <c:v>7.8</c:v>
                </c:pt>
                <c:pt idx="1">
                  <c:v>12.3</c:v>
                </c:pt>
                <c:pt idx="2">
                  <c:v>17.100000000000001</c:v>
                </c:pt>
                <c:pt idx="3">
                  <c:v>31.7</c:v>
                </c:pt>
                <c:pt idx="4">
                  <c:v>46.6</c:v>
                </c:pt>
                <c:pt idx="5">
                  <c:v>62.1</c:v>
                </c:pt>
                <c:pt idx="6">
                  <c:v>93.8</c:v>
                </c:pt>
              </c:numCache>
            </c:numRef>
          </c:xVal>
          <c:yVal>
            <c:numRef>
              <c:f>程式試驗!$J$4:$J$10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1.35</c:v>
                </c:pt>
                <c:pt idx="2">
                  <c:v>1.42</c:v>
                </c:pt>
                <c:pt idx="3">
                  <c:v>1.69</c:v>
                </c:pt>
                <c:pt idx="4">
                  <c:v>1.9</c:v>
                </c:pt>
                <c:pt idx="5">
                  <c:v>2.13</c:v>
                </c:pt>
                <c:pt idx="6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F8-4361-8636-ABA42AB3EFB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程式試驗!$U$1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程式試驗!$U$4:$U$11</c:f>
              <c:numCache>
                <c:formatCode>General</c:formatCode>
                <c:ptCount val="8"/>
                <c:pt idx="0">
                  <c:v>5.5</c:v>
                </c:pt>
                <c:pt idx="1">
                  <c:v>7.5</c:v>
                </c:pt>
                <c:pt idx="2">
                  <c:v>14.5</c:v>
                </c:pt>
                <c:pt idx="3">
                  <c:v>24</c:v>
                </c:pt>
                <c:pt idx="4">
                  <c:v>44.5</c:v>
                </c:pt>
                <c:pt idx="5">
                  <c:v>66.5</c:v>
                </c:pt>
                <c:pt idx="6">
                  <c:v>85</c:v>
                </c:pt>
                <c:pt idx="7">
                  <c:v>90.3</c:v>
                </c:pt>
              </c:numCache>
            </c:numRef>
          </c:xVal>
          <c:yVal>
            <c:numRef>
              <c:f>程式試驗!$V$4:$V$11</c:f>
              <c:numCache>
                <c:formatCode>General</c:formatCode>
                <c:ptCount val="8"/>
                <c:pt idx="0">
                  <c:v>0.37</c:v>
                </c:pt>
                <c:pt idx="1">
                  <c:v>0.54</c:v>
                </c:pt>
                <c:pt idx="2">
                  <c:v>0.64</c:v>
                </c:pt>
                <c:pt idx="3">
                  <c:v>0.84</c:v>
                </c:pt>
                <c:pt idx="4">
                  <c:v>1.01</c:v>
                </c:pt>
                <c:pt idx="5">
                  <c:v>1.0900000000000001</c:v>
                </c:pt>
                <c:pt idx="6">
                  <c:v>1.1399999999999999</c:v>
                </c:pt>
                <c:pt idx="7">
                  <c:v>1.24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F4-4186-922A-D3C53B383931}"/>
            </c:ext>
          </c:extLst>
        </c:ser>
        <c:ser>
          <c:idx val="1"/>
          <c:order val="1"/>
          <c:tx>
            <c:strRef>
              <c:f>程式試驗!$W$1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程式試驗!$W$4:$W$11</c:f>
              <c:numCache>
                <c:formatCode>General</c:formatCode>
                <c:ptCount val="8"/>
                <c:pt idx="0">
                  <c:v>4.8</c:v>
                </c:pt>
                <c:pt idx="1">
                  <c:v>9</c:v>
                </c:pt>
                <c:pt idx="2">
                  <c:v>10.5</c:v>
                </c:pt>
                <c:pt idx="3">
                  <c:v>27.5</c:v>
                </c:pt>
                <c:pt idx="4">
                  <c:v>46.8</c:v>
                </c:pt>
                <c:pt idx="5">
                  <c:v>64.2</c:v>
                </c:pt>
                <c:pt idx="6">
                  <c:v>89.5</c:v>
                </c:pt>
                <c:pt idx="7">
                  <c:v>90.1</c:v>
                </c:pt>
              </c:numCache>
            </c:numRef>
          </c:xVal>
          <c:yVal>
            <c:numRef>
              <c:f>程式試驗!$X$4:$X$11</c:f>
              <c:numCache>
                <c:formatCode>General</c:formatCode>
                <c:ptCount val="8"/>
                <c:pt idx="0">
                  <c:v>1.01</c:v>
                </c:pt>
                <c:pt idx="1">
                  <c:v>1.0900000000000001</c:v>
                </c:pt>
                <c:pt idx="2">
                  <c:v>1.26</c:v>
                </c:pt>
                <c:pt idx="3">
                  <c:v>1.69</c:v>
                </c:pt>
                <c:pt idx="4">
                  <c:v>2.02</c:v>
                </c:pt>
                <c:pt idx="5">
                  <c:v>2.17</c:v>
                </c:pt>
                <c:pt idx="6">
                  <c:v>2.25</c:v>
                </c:pt>
                <c:pt idx="7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F4-4186-922A-D3C53B383931}"/>
            </c:ext>
          </c:extLst>
        </c:ser>
        <c:ser>
          <c:idx val="2"/>
          <c:order val="2"/>
          <c:tx>
            <c:strRef>
              <c:f>程式試驗!$Y$1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程式試驗!$Y$4:$Y$10</c:f>
              <c:numCache>
                <c:formatCode>General</c:formatCode>
                <c:ptCount val="7"/>
                <c:pt idx="0">
                  <c:v>3.7</c:v>
                </c:pt>
                <c:pt idx="1">
                  <c:v>10.9</c:v>
                </c:pt>
                <c:pt idx="2">
                  <c:v>12.8</c:v>
                </c:pt>
                <c:pt idx="3">
                  <c:v>26.9</c:v>
                </c:pt>
                <c:pt idx="4">
                  <c:v>46</c:v>
                </c:pt>
                <c:pt idx="5">
                  <c:v>73</c:v>
                </c:pt>
                <c:pt idx="6">
                  <c:v>90.4</c:v>
                </c:pt>
              </c:numCache>
            </c:numRef>
          </c:xVal>
          <c:yVal>
            <c:numRef>
              <c:f>程式試驗!$Z$4:$Z$10</c:f>
              <c:numCache>
                <c:formatCode>General</c:formatCode>
                <c:ptCount val="7"/>
                <c:pt idx="0">
                  <c:v>1.41</c:v>
                </c:pt>
                <c:pt idx="1">
                  <c:v>1.93</c:v>
                </c:pt>
                <c:pt idx="2">
                  <c:v>2.1</c:v>
                </c:pt>
                <c:pt idx="3">
                  <c:v>2.52</c:v>
                </c:pt>
                <c:pt idx="4">
                  <c:v>3</c:v>
                </c:pt>
                <c:pt idx="5">
                  <c:v>3.3</c:v>
                </c:pt>
                <c:pt idx="6">
                  <c:v>3.47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F4-4186-922A-D3C53B383931}"/>
            </c:ext>
          </c:extLst>
        </c:ser>
        <c:ser>
          <c:idx val="3"/>
          <c:order val="3"/>
          <c:tx>
            <c:strRef>
              <c:f>程式試驗!$AA$1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程式試驗!$AA$4:$AA$10</c:f>
              <c:numCache>
                <c:formatCode>General</c:formatCode>
                <c:ptCount val="7"/>
                <c:pt idx="0">
                  <c:v>6.9</c:v>
                </c:pt>
                <c:pt idx="1">
                  <c:v>11.7</c:v>
                </c:pt>
                <c:pt idx="2">
                  <c:v>13.2</c:v>
                </c:pt>
                <c:pt idx="3">
                  <c:v>31</c:v>
                </c:pt>
                <c:pt idx="4">
                  <c:v>43.6</c:v>
                </c:pt>
                <c:pt idx="5">
                  <c:v>63.6</c:v>
                </c:pt>
                <c:pt idx="6">
                  <c:v>91</c:v>
                </c:pt>
              </c:numCache>
            </c:numRef>
          </c:xVal>
          <c:yVal>
            <c:numRef>
              <c:f>程式試驗!$AB$4:$AB$10</c:f>
              <c:numCache>
                <c:formatCode>General</c:formatCode>
                <c:ptCount val="7"/>
                <c:pt idx="0">
                  <c:v>2.02</c:v>
                </c:pt>
                <c:pt idx="1">
                  <c:v>2.19</c:v>
                </c:pt>
                <c:pt idx="2">
                  <c:v>2.66</c:v>
                </c:pt>
                <c:pt idx="3">
                  <c:v>3.34</c:v>
                </c:pt>
                <c:pt idx="4">
                  <c:v>3.97</c:v>
                </c:pt>
                <c:pt idx="5">
                  <c:v>4.3499999999999996</c:v>
                </c:pt>
                <c:pt idx="6">
                  <c:v>4.71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F4-4186-922A-D3C53B383931}"/>
            </c:ext>
          </c:extLst>
        </c:ser>
        <c:ser>
          <c:idx val="4"/>
          <c:order val="4"/>
          <c:tx>
            <c:strRef>
              <c:f>程式試驗!$AC$1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程式試驗!$AC$4:$AC$10</c:f>
              <c:numCache>
                <c:formatCode>General</c:formatCode>
                <c:ptCount val="7"/>
                <c:pt idx="0">
                  <c:v>7.3</c:v>
                </c:pt>
                <c:pt idx="1">
                  <c:v>10.9</c:v>
                </c:pt>
                <c:pt idx="2">
                  <c:v>12.1</c:v>
                </c:pt>
                <c:pt idx="3">
                  <c:v>27.5</c:v>
                </c:pt>
                <c:pt idx="4">
                  <c:v>46.1</c:v>
                </c:pt>
                <c:pt idx="5">
                  <c:v>69.400000000000006</c:v>
                </c:pt>
                <c:pt idx="6">
                  <c:v>90</c:v>
                </c:pt>
              </c:numCache>
            </c:numRef>
          </c:xVal>
          <c:yVal>
            <c:numRef>
              <c:f>程式試驗!$AD$4:$AD$10</c:f>
              <c:numCache>
                <c:formatCode>General</c:formatCode>
                <c:ptCount val="7"/>
                <c:pt idx="0">
                  <c:v>2.25</c:v>
                </c:pt>
                <c:pt idx="1">
                  <c:v>3.1</c:v>
                </c:pt>
                <c:pt idx="2">
                  <c:v>3.2</c:v>
                </c:pt>
                <c:pt idx="3">
                  <c:v>4.2</c:v>
                </c:pt>
                <c:pt idx="4">
                  <c:v>4.95</c:v>
                </c:pt>
                <c:pt idx="5">
                  <c:v>5.46</c:v>
                </c:pt>
                <c:pt idx="6">
                  <c:v>5.85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F4-4186-922A-D3C53B38393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*1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程式試驗!$A$1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程式試驗!$A$14:$A$21</c:f>
              <c:numCache>
                <c:formatCode>General</c:formatCode>
                <c:ptCount val="8"/>
                <c:pt idx="0">
                  <c:v>8.1</c:v>
                </c:pt>
                <c:pt idx="1">
                  <c:v>13</c:v>
                </c:pt>
                <c:pt idx="2">
                  <c:v>17.7</c:v>
                </c:pt>
                <c:pt idx="3">
                  <c:v>32.6</c:v>
                </c:pt>
                <c:pt idx="4">
                  <c:v>47.5</c:v>
                </c:pt>
                <c:pt idx="5">
                  <c:v>62.5</c:v>
                </c:pt>
                <c:pt idx="6">
                  <c:v>81.5</c:v>
                </c:pt>
                <c:pt idx="7">
                  <c:v>93.2</c:v>
                </c:pt>
              </c:numCache>
            </c:numRef>
          </c:xVal>
          <c:yVal>
            <c:numRef>
              <c:f>程式試驗!$B$14:$B$21</c:f>
              <c:numCache>
                <c:formatCode>General</c:formatCode>
                <c:ptCount val="8"/>
                <c:pt idx="0">
                  <c:v>0.22</c:v>
                </c:pt>
                <c:pt idx="1">
                  <c:v>0.24</c:v>
                </c:pt>
                <c:pt idx="2">
                  <c:v>0.3</c:v>
                </c:pt>
                <c:pt idx="3">
                  <c:v>0.41</c:v>
                </c:pt>
                <c:pt idx="4">
                  <c:v>0.49</c:v>
                </c:pt>
                <c:pt idx="5">
                  <c:v>0.54</c:v>
                </c:pt>
                <c:pt idx="6">
                  <c:v>0.69</c:v>
                </c:pt>
                <c:pt idx="7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B1-4B46-9CF1-00E60DB88409}"/>
            </c:ext>
          </c:extLst>
        </c:ser>
        <c:ser>
          <c:idx val="1"/>
          <c:order val="1"/>
          <c:tx>
            <c:strRef>
              <c:f>程式試驗!$C$1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程式試驗!$C$14:$C$21</c:f>
              <c:numCache>
                <c:formatCode>General</c:formatCode>
                <c:ptCount val="8"/>
                <c:pt idx="0">
                  <c:v>7.5</c:v>
                </c:pt>
                <c:pt idx="1">
                  <c:v>12.1</c:v>
                </c:pt>
                <c:pt idx="2">
                  <c:v>17.100000000000001</c:v>
                </c:pt>
                <c:pt idx="3">
                  <c:v>31.9</c:v>
                </c:pt>
                <c:pt idx="4">
                  <c:v>47.1</c:v>
                </c:pt>
                <c:pt idx="5">
                  <c:v>62.2</c:v>
                </c:pt>
                <c:pt idx="6">
                  <c:v>77.5</c:v>
                </c:pt>
                <c:pt idx="7">
                  <c:v>92.2</c:v>
                </c:pt>
              </c:numCache>
            </c:numRef>
          </c:xVal>
          <c:yVal>
            <c:numRef>
              <c:f>程式試驗!$D$14:$D$21</c:f>
              <c:numCache>
                <c:formatCode>General</c:formatCode>
                <c:ptCount val="8"/>
                <c:pt idx="0">
                  <c:v>0.54</c:v>
                </c:pt>
                <c:pt idx="1">
                  <c:v>0.62</c:v>
                </c:pt>
                <c:pt idx="2">
                  <c:v>0.67</c:v>
                </c:pt>
                <c:pt idx="3">
                  <c:v>0.88</c:v>
                </c:pt>
                <c:pt idx="4">
                  <c:v>1.05</c:v>
                </c:pt>
                <c:pt idx="5">
                  <c:v>1.18</c:v>
                </c:pt>
                <c:pt idx="6">
                  <c:v>1.24</c:v>
                </c:pt>
                <c:pt idx="7">
                  <c:v>1.97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B1-4B46-9CF1-00E60DB88409}"/>
            </c:ext>
          </c:extLst>
        </c:ser>
        <c:ser>
          <c:idx val="2"/>
          <c:order val="2"/>
          <c:tx>
            <c:strRef>
              <c:f>程式試驗!$E$1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程式試驗!$E$14:$E$21</c:f>
              <c:numCache>
                <c:formatCode>General</c:formatCode>
                <c:ptCount val="8"/>
                <c:pt idx="0">
                  <c:v>7.4</c:v>
                </c:pt>
                <c:pt idx="1">
                  <c:v>12</c:v>
                </c:pt>
                <c:pt idx="2">
                  <c:v>17</c:v>
                </c:pt>
                <c:pt idx="3">
                  <c:v>31.5</c:v>
                </c:pt>
                <c:pt idx="4">
                  <c:v>46.4</c:v>
                </c:pt>
                <c:pt idx="5">
                  <c:v>62</c:v>
                </c:pt>
                <c:pt idx="6">
                  <c:v>77.900000000000006</c:v>
                </c:pt>
                <c:pt idx="7">
                  <c:v>92.1</c:v>
                </c:pt>
              </c:numCache>
            </c:numRef>
          </c:xVal>
          <c:yVal>
            <c:numRef>
              <c:f>程式試驗!$F$14:$F$21</c:f>
              <c:numCache>
                <c:formatCode>General</c:formatCode>
                <c:ptCount val="8"/>
                <c:pt idx="0">
                  <c:v>0.88</c:v>
                </c:pt>
                <c:pt idx="1">
                  <c:v>0.97</c:v>
                </c:pt>
                <c:pt idx="2">
                  <c:v>1.07</c:v>
                </c:pt>
                <c:pt idx="3">
                  <c:v>1.35</c:v>
                </c:pt>
                <c:pt idx="4">
                  <c:v>1.63</c:v>
                </c:pt>
                <c:pt idx="5">
                  <c:v>1.8</c:v>
                </c:pt>
                <c:pt idx="6">
                  <c:v>1.87</c:v>
                </c:pt>
                <c:pt idx="7">
                  <c:v>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B1-4B46-9CF1-00E60DB88409}"/>
            </c:ext>
          </c:extLst>
        </c:ser>
        <c:ser>
          <c:idx val="3"/>
          <c:order val="3"/>
          <c:tx>
            <c:strRef>
              <c:f>程式試驗!$G$1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程式試驗!$G$14:$G$21</c:f>
              <c:numCache>
                <c:formatCode>General</c:formatCode>
                <c:ptCount val="8"/>
                <c:pt idx="0">
                  <c:v>7.1</c:v>
                </c:pt>
                <c:pt idx="1">
                  <c:v>12</c:v>
                </c:pt>
                <c:pt idx="2">
                  <c:v>16.8</c:v>
                </c:pt>
                <c:pt idx="3">
                  <c:v>21.8</c:v>
                </c:pt>
                <c:pt idx="4">
                  <c:v>46.8</c:v>
                </c:pt>
                <c:pt idx="5">
                  <c:v>61.8</c:v>
                </c:pt>
                <c:pt idx="6">
                  <c:v>77.900000000000006</c:v>
                </c:pt>
                <c:pt idx="7">
                  <c:v>92.1</c:v>
                </c:pt>
              </c:numCache>
            </c:numRef>
          </c:xVal>
          <c:yVal>
            <c:numRef>
              <c:f>程式試驗!$H$14:$H$21</c:f>
              <c:numCache>
                <c:formatCode>General</c:formatCode>
                <c:ptCount val="8"/>
                <c:pt idx="0">
                  <c:v>1.86</c:v>
                </c:pt>
                <c:pt idx="1">
                  <c:v>1.31</c:v>
                </c:pt>
                <c:pt idx="2">
                  <c:v>1.46</c:v>
                </c:pt>
                <c:pt idx="3">
                  <c:v>1.82</c:v>
                </c:pt>
                <c:pt idx="4">
                  <c:v>2.17</c:v>
                </c:pt>
                <c:pt idx="5">
                  <c:v>2.42</c:v>
                </c:pt>
                <c:pt idx="6">
                  <c:v>2.5099999999999998</c:v>
                </c:pt>
                <c:pt idx="7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B1-4B46-9CF1-00E60DB88409}"/>
            </c:ext>
          </c:extLst>
        </c:ser>
        <c:ser>
          <c:idx val="4"/>
          <c:order val="4"/>
          <c:tx>
            <c:strRef>
              <c:f>程式試驗!$I$1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程式試驗!$I$14:$I$21</c:f>
              <c:numCache>
                <c:formatCode>General</c:formatCode>
                <c:ptCount val="8"/>
                <c:pt idx="0">
                  <c:v>7</c:v>
                </c:pt>
                <c:pt idx="1">
                  <c:v>12</c:v>
                </c:pt>
                <c:pt idx="2">
                  <c:v>16.5</c:v>
                </c:pt>
                <c:pt idx="3">
                  <c:v>31.2</c:v>
                </c:pt>
                <c:pt idx="4">
                  <c:v>46.1</c:v>
                </c:pt>
                <c:pt idx="5">
                  <c:v>61.5</c:v>
                </c:pt>
                <c:pt idx="6">
                  <c:v>77</c:v>
                </c:pt>
                <c:pt idx="7">
                  <c:v>91.3</c:v>
                </c:pt>
              </c:numCache>
            </c:numRef>
          </c:xVal>
          <c:yVal>
            <c:numRef>
              <c:f>程式試驗!$J$14:$J$21</c:f>
              <c:numCache>
                <c:formatCode>General</c:formatCode>
                <c:ptCount val="8"/>
                <c:pt idx="0">
                  <c:v>1.48</c:v>
                </c:pt>
                <c:pt idx="1">
                  <c:v>1.67</c:v>
                </c:pt>
                <c:pt idx="2">
                  <c:v>1.84</c:v>
                </c:pt>
                <c:pt idx="3">
                  <c:v>2.2999999999999998</c:v>
                </c:pt>
                <c:pt idx="4">
                  <c:v>2.77</c:v>
                </c:pt>
                <c:pt idx="5">
                  <c:v>3.02</c:v>
                </c:pt>
                <c:pt idx="6">
                  <c:v>3.17</c:v>
                </c:pt>
                <c:pt idx="7">
                  <c:v>4.67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B1-4B46-9CF1-00E60DB884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*1.5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程式試驗!$K$1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程式試驗!$K$14:$K$21</c:f>
              <c:numCache>
                <c:formatCode>General</c:formatCode>
                <c:ptCount val="8"/>
                <c:pt idx="0">
                  <c:v>6.7</c:v>
                </c:pt>
                <c:pt idx="1">
                  <c:v>8.6</c:v>
                </c:pt>
                <c:pt idx="2">
                  <c:v>11.2</c:v>
                </c:pt>
                <c:pt idx="3">
                  <c:v>21.2</c:v>
                </c:pt>
                <c:pt idx="4">
                  <c:v>33.5</c:v>
                </c:pt>
                <c:pt idx="5">
                  <c:v>43.1</c:v>
                </c:pt>
                <c:pt idx="6">
                  <c:v>48.4</c:v>
                </c:pt>
                <c:pt idx="7">
                  <c:v>55.8</c:v>
                </c:pt>
              </c:numCache>
            </c:numRef>
          </c:xVal>
          <c:yVal>
            <c:numRef>
              <c:f>程式試驗!$L$14:$L$21</c:f>
              <c:numCache>
                <c:formatCode>General</c:formatCode>
                <c:ptCount val="8"/>
                <c:pt idx="0">
                  <c:v>0.39</c:v>
                </c:pt>
                <c:pt idx="1">
                  <c:v>0.52</c:v>
                </c:pt>
                <c:pt idx="2">
                  <c:v>0.57999999999999996</c:v>
                </c:pt>
                <c:pt idx="3">
                  <c:v>0.75</c:v>
                </c:pt>
                <c:pt idx="4">
                  <c:v>0.9</c:v>
                </c:pt>
                <c:pt idx="5">
                  <c:v>0.99</c:v>
                </c:pt>
                <c:pt idx="6">
                  <c:v>1.05</c:v>
                </c:pt>
                <c:pt idx="7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FD-4B84-B047-2DADC5D8A5B5}"/>
            </c:ext>
          </c:extLst>
        </c:ser>
        <c:ser>
          <c:idx val="1"/>
          <c:order val="1"/>
          <c:tx>
            <c:strRef>
              <c:f>程式試驗!$M$1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程式試驗!$M$14:$M$21</c:f>
              <c:numCache>
                <c:formatCode>General</c:formatCode>
                <c:ptCount val="8"/>
                <c:pt idx="0">
                  <c:v>6</c:v>
                </c:pt>
                <c:pt idx="1">
                  <c:v>7.1</c:v>
                </c:pt>
                <c:pt idx="2">
                  <c:v>8.9</c:v>
                </c:pt>
                <c:pt idx="3">
                  <c:v>16.899999999999999</c:v>
                </c:pt>
                <c:pt idx="4">
                  <c:v>28.7</c:v>
                </c:pt>
                <c:pt idx="5">
                  <c:v>41.1</c:v>
                </c:pt>
                <c:pt idx="6">
                  <c:v>48.1</c:v>
                </c:pt>
                <c:pt idx="7">
                  <c:v>55.5</c:v>
                </c:pt>
              </c:numCache>
            </c:numRef>
          </c:xVal>
          <c:yVal>
            <c:numRef>
              <c:f>程式試驗!$N$14:$N$21</c:f>
              <c:numCache>
                <c:formatCode>General</c:formatCode>
                <c:ptCount val="8"/>
                <c:pt idx="0">
                  <c:v>0.94</c:v>
                </c:pt>
                <c:pt idx="1">
                  <c:v>1.07</c:v>
                </c:pt>
                <c:pt idx="2">
                  <c:v>1.1200000000000001</c:v>
                </c:pt>
                <c:pt idx="3">
                  <c:v>1.48</c:v>
                </c:pt>
                <c:pt idx="4">
                  <c:v>1.8</c:v>
                </c:pt>
                <c:pt idx="5">
                  <c:v>2.02</c:v>
                </c:pt>
                <c:pt idx="6">
                  <c:v>2.14</c:v>
                </c:pt>
                <c:pt idx="7">
                  <c:v>2.21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FD-4B84-B047-2DADC5D8A5B5}"/>
            </c:ext>
          </c:extLst>
        </c:ser>
        <c:ser>
          <c:idx val="2"/>
          <c:order val="2"/>
          <c:tx>
            <c:strRef>
              <c:f>程式試驗!$O$1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程式試驗!$O$14:$O$21</c:f>
              <c:numCache>
                <c:formatCode>General</c:formatCode>
                <c:ptCount val="8"/>
                <c:pt idx="0">
                  <c:v>5.8</c:v>
                </c:pt>
                <c:pt idx="1">
                  <c:v>5.9</c:v>
                </c:pt>
                <c:pt idx="2">
                  <c:v>9.5</c:v>
                </c:pt>
                <c:pt idx="3">
                  <c:v>18</c:v>
                </c:pt>
                <c:pt idx="4">
                  <c:v>31.3</c:v>
                </c:pt>
                <c:pt idx="5">
                  <c:v>39.5</c:v>
                </c:pt>
                <c:pt idx="6">
                  <c:v>46.1</c:v>
                </c:pt>
                <c:pt idx="7">
                  <c:v>50</c:v>
                </c:pt>
              </c:numCache>
            </c:numRef>
          </c:xVal>
          <c:yVal>
            <c:numRef>
              <c:f>程式試驗!$P$14:$P$21</c:f>
              <c:numCache>
                <c:formatCode>General</c:formatCode>
                <c:ptCount val="8"/>
                <c:pt idx="0">
                  <c:v>1.56</c:v>
                </c:pt>
                <c:pt idx="1">
                  <c:v>1.48</c:v>
                </c:pt>
                <c:pt idx="2">
                  <c:v>1.82</c:v>
                </c:pt>
                <c:pt idx="3">
                  <c:v>2.27</c:v>
                </c:pt>
                <c:pt idx="4">
                  <c:v>2.77</c:v>
                </c:pt>
                <c:pt idx="5">
                  <c:v>3</c:v>
                </c:pt>
                <c:pt idx="6">
                  <c:v>3.28</c:v>
                </c:pt>
                <c:pt idx="7">
                  <c:v>3.35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FD-4B84-B047-2DADC5D8A5B5}"/>
            </c:ext>
          </c:extLst>
        </c:ser>
        <c:ser>
          <c:idx val="3"/>
          <c:order val="3"/>
          <c:tx>
            <c:strRef>
              <c:f>程式試驗!$Q$1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程式試驗!$Q$14:$Q$21</c:f>
              <c:numCache>
                <c:formatCode>General</c:formatCode>
                <c:ptCount val="8"/>
                <c:pt idx="0">
                  <c:v>5.8</c:v>
                </c:pt>
                <c:pt idx="1">
                  <c:v>7.1</c:v>
                </c:pt>
                <c:pt idx="2">
                  <c:v>8.1999999999999993</c:v>
                </c:pt>
                <c:pt idx="3">
                  <c:v>13.5</c:v>
                </c:pt>
                <c:pt idx="4">
                  <c:v>27.1</c:v>
                </c:pt>
                <c:pt idx="5">
                  <c:v>41.7</c:v>
                </c:pt>
                <c:pt idx="6">
                  <c:v>56.1</c:v>
                </c:pt>
                <c:pt idx="7">
                  <c:v>64.5</c:v>
                </c:pt>
              </c:numCache>
            </c:numRef>
          </c:xVal>
          <c:yVal>
            <c:numRef>
              <c:f>程式試驗!$R$14:$R$21</c:f>
              <c:numCache>
                <c:formatCode>General</c:formatCode>
                <c:ptCount val="8"/>
                <c:pt idx="0">
                  <c:v>2.14</c:v>
                </c:pt>
                <c:pt idx="1">
                  <c:v>2.42</c:v>
                </c:pt>
                <c:pt idx="2">
                  <c:v>2.4500000000000002</c:v>
                </c:pt>
                <c:pt idx="3">
                  <c:v>2.92</c:v>
                </c:pt>
                <c:pt idx="4">
                  <c:v>3.63</c:v>
                </c:pt>
                <c:pt idx="5">
                  <c:v>4.12</c:v>
                </c:pt>
                <c:pt idx="6">
                  <c:v>4.37</c:v>
                </c:pt>
                <c:pt idx="7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FD-4B84-B047-2DADC5D8A5B5}"/>
            </c:ext>
          </c:extLst>
        </c:ser>
        <c:ser>
          <c:idx val="4"/>
          <c:order val="4"/>
          <c:tx>
            <c:strRef>
              <c:f>程式試驗!$S$1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程式試驗!$S$14:$S$21</c:f>
              <c:numCache>
                <c:formatCode>General</c:formatCode>
                <c:ptCount val="8"/>
                <c:pt idx="0">
                  <c:v>5.6</c:v>
                </c:pt>
                <c:pt idx="1">
                  <c:v>5.9</c:v>
                </c:pt>
                <c:pt idx="2">
                  <c:v>9.1</c:v>
                </c:pt>
                <c:pt idx="3">
                  <c:v>17.100000000000001</c:v>
                </c:pt>
                <c:pt idx="4">
                  <c:v>26.6</c:v>
                </c:pt>
                <c:pt idx="5">
                  <c:v>38.200000000000003</c:v>
                </c:pt>
                <c:pt idx="6">
                  <c:v>57.9</c:v>
                </c:pt>
                <c:pt idx="7">
                  <c:v>61</c:v>
                </c:pt>
              </c:numCache>
            </c:numRef>
          </c:xVal>
          <c:yVal>
            <c:numRef>
              <c:f>程式試驗!$T$14:$T$21</c:f>
              <c:numCache>
                <c:formatCode>General</c:formatCode>
                <c:ptCount val="8"/>
                <c:pt idx="0">
                  <c:v>2.57</c:v>
                </c:pt>
                <c:pt idx="1">
                  <c:v>2.7</c:v>
                </c:pt>
                <c:pt idx="2">
                  <c:v>3.22</c:v>
                </c:pt>
                <c:pt idx="3">
                  <c:v>3.82</c:v>
                </c:pt>
                <c:pt idx="4">
                  <c:v>4.4800000000000004</c:v>
                </c:pt>
                <c:pt idx="5">
                  <c:v>5.0199999999999996</c:v>
                </c:pt>
                <c:pt idx="6">
                  <c:v>5.51</c:v>
                </c:pt>
                <c:pt idx="7">
                  <c:v>5.98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FD-4B84-B047-2DADC5D8A5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*2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程式試驗!$U$1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程式試驗!$U$14:$U$21</c:f>
              <c:numCache>
                <c:formatCode>General</c:formatCode>
                <c:ptCount val="8"/>
                <c:pt idx="0">
                  <c:v>6.7</c:v>
                </c:pt>
                <c:pt idx="1">
                  <c:v>6.1</c:v>
                </c:pt>
                <c:pt idx="2">
                  <c:v>7.7</c:v>
                </c:pt>
                <c:pt idx="3">
                  <c:v>15</c:v>
                </c:pt>
                <c:pt idx="4">
                  <c:v>25.4</c:v>
                </c:pt>
                <c:pt idx="5">
                  <c:v>60</c:v>
                </c:pt>
                <c:pt idx="6">
                  <c:v>60.3</c:v>
                </c:pt>
                <c:pt idx="7">
                  <c:v>60.3</c:v>
                </c:pt>
              </c:numCache>
            </c:numRef>
          </c:xVal>
          <c:yVal>
            <c:numRef>
              <c:f>程式試驗!$V$14:$V$21</c:f>
              <c:numCache>
                <c:formatCode>General</c:formatCode>
                <c:ptCount val="8"/>
                <c:pt idx="0">
                  <c:v>0.84</c:v>
                </c:pt>
                <c:pt idx="1">
                  <c:v>0.81</c:v>
                </c:pt>
                <c:pt idx="2">
                  <c:v>0.92</c:v>
                </c:pt>
                <c:pt idx="3">
                  <c:v>1.07</c:v>
                </c:pt>
                <c:pt idx="4">
                  <c:v>1.31</c:v>
                </c:pt>
                <c:pt idx="5">
                  <c:v>1.54</c:v>
                </c:pt>
                <c:pt idx="6">
                  <c:v>1.59</c:v>
                </c:pt>
                <c:pt idx="7">
                  <c:v>1.59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23-410B-AC3E-C2CD12045167}"/>
            </c:ext>
          </c:extLst>
        </c:ser>
        <c:ser>
          <c:idx val="1"/>
          <c:order val="1"/>
          <c:tx>
            <c:strRef>
              <c:f>程式試驗!$W$1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程式試驗!$W$14:$W$21</c:f>
              <c:numCache>
                <c:formatCode>General</c:formatCode>
                <c:ptCount val="8"/>
                <c:pt idx="0">
                  <c:v>5.6</c:v>
                </c:pt>
                <c:pt idx="1">
                  <c:v>5.3</c:v>
                </c:pt>
                <c:pt idx="2">
                  <c:v>5.9</c:v>
                </c:pt>
                <c:pt idx="3">
                  <c:v>15.6</c:v>
                </c:pt>
                <c:pt idx="4">
                  <c:v>27.3</c:v>
                </c:pt>
                <c:pt idx="5">
                  <c:v>43.2</c:v>
                </c:pt>
                <c:pt idx="6">
                  <c:v>50.1</c:v>
                </c:pt>
                <c:pt idx="7">
                  <c:v>58.1</c:v>
                </c:pt>
              </c:numCache>
            </c:numRef>
          </c:xVal>
          <c:yVal>
            <c:numRef>
              <c:f>程式試驗!$X$14:$X$21</c:f>
              <c:numCache>
                <c:formatCode>General</c:formatCode>
                <c:ptCount val="8"/>
                <c:pt idx="0">
                  <c:v>1.42</c:v>
                </c:pt>
                <c:pt idx="1">
                  <c:v>1.41</c:v>
                </c:pt>
                <c:pt idx="2">
                  <c:v>1.59</c:v>
                </c:pt>
                <c:pt idx="3">
                  <c:v>2.14</c:v>
                </c:pt>
                <c:pt idx="4">
                  <c:v>2.59</c:v>
                </c:pt>
                <c:pt idx="5">
                  <c:v>3.04</c:v>
                </c:pt>
                <c:pt idx="6">
                  <c:v>3.17</c:v>
                </c:pt>
                <c:pt idx="7">
                  <c:v>3.34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23-410B-AC3E-C2CD12045167}"/>
            </c:ext>
          </c:extLst>
        </c:ser>
        <c:ser>
          <c:idx val="2"/>
          <c:order val="2"/>
          <c:tx>
            <c:strRef>
              <c:f>程式試驗!$Y$1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程式試驗!$Y$14:$Y$21</c:f>
              <c:numCache>
                <c:formatCode>General</c:formatCode>
                <c:ptCount val="8"/>
                <c:pt idx="0">
                  <c:v>6.1</c:v>
                </c:pt>
                <c:pt idx="1">
                  <c:v>6.1</c:v>
                </c:pt>
                <c:pt idx="2">
                  <c:v>6.2</c:v>
                </c:pt>
                <c:pt idx="3">
                  <c:v>15.9</c:v>
                </c:pt>
                <c:pt idx="4">
                  <c:v>28.6</c:v>
                </c:pt>
                <c:pt idx="5">
                  <c:v>40.1</c:v>
                </c:pt>
                <c:pt idx="6">
                  <c:v>48.2</c:v>
                </c:pt>
                <c:pt idx="7">
                  <c:v>56.1</c:v>
                </c:pt>
              </c:numCache>
            </c:numRef>
          </c:xVal>
          <c:yVal>
            <c:numRef>
              <c:f>程式試驗!$Z$14:$Z$21</c:f>
              <c:numCache>
                <c:formatCode>General</c:formatCode>
                <c:ptCount val="8"/>
                <c:pt idx="0">
                  <c:v>2.2799999999999998</c:v>
                </c:pt>
                <c:pt idx="1">
                  <c:v>2.29</c:v>
                </c:pt>
                <c:pt idx="2">
                  <c:v>2.2999999999999998</c:v>
                </c:pt>
                <c:pt idx="3">
                  <c:v>3.24</c:v>
                </c:pt>
                <c:pt idx="4">
                  <c:v>3.93</c:v>
                </c:pt>
                <c:pt idx="5">
                  <c:v>4.5199999999999996</c:v>
                </c:pt>
                <c:pt idx="6">
                  <c:v>4.74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23-410B-AC3E-C2CD12045167}"/>
            </c:ext>
          </c:extLst>
        </c:ser>
        <c:ser>
          <c:idx val="3"/>
          <c:order val="3"/>
          <c:tx>
            <c:strRef>
              <c:f>程式試驗!$AA$1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程式試驗!$AA$14:$AA$21</c:f>
              <c:numCache>
                <c:formatCode>General</c:formatCode>
                <c:ptCount val="8"/>
                <c:pt idx="0">
                  <c:v>5.4</c:v>
                </c:pt>
                <c:pt idx="1">
                  <c:v>5.9</c:v>
                </c:pt>
                <c:pt idx="2">
                  <c:v>5.8</c:v>
                </c:pt>
                <c:pt idx="3">
                  <c:v>21.2</c:v>
                </c:pt>
                <c:pt idx="4">
                  <c:v>26.8</c:v>
                </c:pt>
                <c:pt idx="5">
                  <c:v>39.700000000000003</c:v>
                </c:pt>
                <c:pt idx="6">
                  <c:v>46.8</c:v>
                </c:pt>
                <c:pt idx="7">
                  <c:v>48.3</c:v>
                </c:pt>
              </c:numCache>
            </c:numRef>
          </c:xVal>
          <c:yVal>
            <c:numRef>
              <c:f>程式試驗!$AB$14:$AB$21</c:f>
              <c:numCache>
                <c:formatCode>General</c:formatCode>
                <c:ptCount val="8"/>
                <c:pt idx="0">
                  <c:v>2.96</c:v>
                </c:pt>
                <c:pt idx="1">
                  <c:v>3.04</c:v>
                </c:pt>
                <c:pt idx="2">
                  <c:v>3.05</c:v>
                </c:pt>
                <c:pt idx="3">
                  <c:v>4.3099999999999996</c:v>
                </c:pt>
                <c:pt idx="4">
                  <c:v>5.25</c:v>
                </c:pt>
                <c:pt idx="5">
                  <c:v>5.94</c:v>
                </c:pt>
                <c:pt idx="6">
                  <c:v>6.31</c:v>
                </c:pt>
                <c:pt idx="7">
                  <c:v>6.45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23-410B-AC3E-C2CD12045167}"/>
            </c:ext>
          </c:extLst>
        </c:ser>
        <c:ser>
          <c:idx val="4"/>
          <c:order val="4"/>
          <c:tx>
            <c:strRef>
              <c:f>程式試驗!$AC$1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程式試驗!$AC$14:$AC$21</c:f>
              <c:numCache>
                <c:formatCode>General</c:formatCode>
                <c:ptCount val="8"/>
                <c:pt idx="0">
                  <c:v>4.2</c:v>
                </c:pt>
                <c:pt idx="1">
                  <c:v>5.4</c:v>
                </c:pt>
                <c:pt idx="2">
                  <c:v>4.9000000000000004</c:v>
                </c:pt>
                <c:pt idx="3">
                  <c:v>13.9</c:v>
                </c:pt>
                <c:pt idx="4">
                  <c:v>25.7</c:v>
                </c:pt>
                <c:pt idx="5">
                  <c:v>37.9</c:v>
                </c:pt>
                <c:pt idx="6">
                  <c:v>47.2</c:v>
                </c:pt>
                <c:pt idx="7">
                  <c:v>50.4</c:v>
                </c:pt>
              </c:numCache>
            </c:numRef>
          </c:xVal>
          <c:yVal>
            <c:numRef>
              <c:f>程式試驗!$AD$14:$AD$21</c:f>
              <c:numCache>
                <c:formatCode>General</c:formatCode>
                <c:ptCount val="8"/>
                <c:pt idx="0">
                  <c:v>3.73</c:v>
                </c:pt>
                <c:pt idx="1">
                  <c:v>4.05</c:v>
                </c:pt>
                <c:pt idx="2">
                  <c:v>3.92</c:v>
                </c:pt>
                <c:pt idx="3">
                  <c:v>5.41</c:v>
                </c:pt>
                <c:pt idx="4">
                  <c:v>6.48</c:v>
                </c:pt>
                <c:pt idx="5">
                  <c:v>7.44</c:v>
                </c:pt>
                <c:pt idx="6">
                  <c:v>8.02</c:v>
                </c:pt>
                <c:pt idx="7">
                  <c:v>8.43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23-410B-AC3E-C2CD120451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SPCC*1.5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程式試驗!$K$1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程式試驗!$K$4:$K$11</c:f>
              <c:numCache>
                <c:formatCode>General</c:formatCode>
                <c:ptCount val="8"/>
                <c:pt idx="0">
                  <c:v>7.2</c:v>
                </c:pt>
                <c:pt idx="1">
                  <c:v>11.7</c:v>
                </c:pt>
                <c:pt idx="2">
                  <c:v>16.600000000000001</c:v>
                </c:pt>
                <c:pt idx="3">
                  <c:v>31</c:v>
                </c:pt>
                <c:pt idx="4">
                  <c:v>46</c:v>
                </c:pt>
                <c:pt idx="5">
                  <c:v>60.5</c:v>
                </c:pt>
                <c:pt idx="6">
                  <c:v>76.2</c:v>
                </c:pt>
                <c:pt idx="7">
                  <c:v>91.1</c:v>
                </c:pt>
              </c:numCache>
            </c:numRef>
          </c:xVal>
          <c:yVal>
            <c:numRef>
              <c:f>程式試驗!$L$4:$L$11</c:f>
              <c:numCache>
                <c:formatCode>General</c:formatCode>
                <c:ptCount val="8"/>
                <c:pt idx="0">
                  <c:v>0.45</c:v>
                </c:pt>
                <c:pt idx="1">
                  <c:v>0.51</c:v>
                </c:pt>
                <c:pt idx="2">
                  <c:v>0.52</c:v>
                </c:pt>
                <c:pt idx="3">
                  <c:v>0.62</c:v>
                </c:pt>
                <c:pt idx="4">
                  <c:v>0.71</c:v>
                </c:pt>
                <c:pt idx="5">
                  <c:v>0.75</c:v>
                </c:pt>
                <c:pt idx="6">
                  <c:v>0.71</c:v>
                </c:pt>
                <c:pt idx="7">
                  <c:v>0.79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B0-4EAC-A8F9-2A9747D86B9D}"/>
            </c:ext>
          </c:extLst>
        </c:ser>
        <c:ser>
          <c:idx val="1"/>
          <c:order val="1"/>
          <c:tx>
            <c:strRef>
              <c:f>程式試驗!$M$1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程式試驗!$M$4:$M$11</c:f>
              <c:numCache>
                <c:formatCode>General</c:formatCode>
                <c:ptCount val="8"/>
                <c:pt idx="0">
                  <c:v>6.8</c:v>
                </c:pt>
                <c:pt idx="1">
                  <c:v>11.1</c:v>
                </c:pt>
                <c:pt idx="2">
                  <c:v>15.6</c:v>
                </c:pt>
                <c:pt idx="3">
                  <c:v>30.6</c:v>
                </c:pt>
                <c:pt idx="4">
                  <c:v>45.5</c:v>
                </c:pt>
                <c:pt idx="5">
                  <c:v>60.5</c:v>
                </c:pt>
                <c:pt idx="6">
                  <c:v>75.2</c:v>
                </c:pt>
                <c:pt idx="7">
                  <c:v>90.6</c:v>
                </c:pt>
              </c:numCache>
            </c:numRef>
          </c:xVal>
          <c:yVal>
            <c:numRef>
              <c:f>程式試驗!$N$4:$N$11</c:f>
              <c:numCache>
                <c:formatCode>General</c:formatCode>
                <c:ptCount val="8"/>
                <c:pt idx="0">
                  <c:v>0.97</c:v>
                </c:pt>
                <c:pt idx="1">
                  <c:v>1.1399999999999999</c:v>
                </c:pt>
                <c:pt idx="2">
                  <c:v>1.24</c:v>
                </c:pt>
                <c:pt idx="3">
                  <c:v>1.44</c:v>
                </c:pt>
                <c:pt idx="4">
                  <c:v>1.54</c:v>
                </c:pt>
                <c:pt idx="5">
                  <c:v>1.61</c:v>
                </c:pt>
                <c:pt idx="6">
                  <c:v>1.57</c:v>
                </c:pt>
                <c:pt idx="7">
                  <c:v>1.57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B0-4EAC-A8F9-2A9747D86B9D}"/>
            </c:ext>
          </c:extLst>
        </c:ser>
        <c:ser>
          <c:idx val="2"/>
          <c:order val="2"/>
          <c:tx>
            <c:strRef>
              <c:f>程式試驗!$O$1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程式試驗!$O$4:$O$11</c:f>
              <c:numCache>
                <c:formatCode>General</c:formatCode>
                <c:ptCount val="8"/>
                <c:pt idx="0">
                  <c:v>5.5</c:v>
                </c:pt>
                <c:pt idx="1">
                  <c:v>10</c:v>
                </c:pt>
                <c:pt idx="2">
                  <c:v>15.6</c:v>
                </c:pt>
                <c:pt idx="3">
                  <c:v>30.1</c:v>
                </c:pt>
                <c:pt idx="4">
                  <c:v>44.4</c:v>
                </c:pt>
                <c:pt idx="5">
                  <c:v>59.8</c:v>
                </c:pt>
                <c:pt idx="6">
                  <c:v>74</c:v>
                </c:pt>
                <c:pt idx="7">
                  <c:v>89.5</c:v>
                </c:pt>
              </c:numCache>
            </c:numRef>
          </c:xVal>
          <c:yVal>
            <c:numRef>
              <c:f>程式試驗!$P$4:$P$11</c:f>
              <c:numCache>
                <c:formatCode>General</c:formatCode>
                <c:ptCount val="8"/>
                <c:pt idx="0">
                  <c:v>1.46</c:v>
                </c:pt>
                <c:pt idx="1">
                  <c:v>1.69</c:v>
                </c:pt>
                <c:pt idx="2">
                  <c:v>1.87</c:v>
                </c:pt>
                <c:pt idx="3">
                  <c:v>2.15</c:v>
                </c:pt>
                <c:pt idx="4">
                  <c:v>2.34</c:v>
                </c:pt>
                <c:pt idx="5">
                  <c:v>2.38</c:v>
                </c:pt>
                <c:pt idx="6">
                  <c:v>2.29</c:v>
                </c:pt>
                <c:pt idx="7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B0-4EAC-A8F9-2A9747D86B9D}"/>
            </c:ext>
          </c:extLst>
        </c:ser>
        <c:ser>
          <c:idx val="3"/>
          <c:order val="3"/>
          <c:tx>
            <c:strRef>
              <c:f>程式試驗!$Q$1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程式試驗!$Q$4:$Q$11</c:f>
              <c:numCache>
                <c:formatCode>General</c:formatCode>
                <c:ptCount val="8"/>
                <c:pt idx="0">
                  <c:v>6.1</c:v>
                </c:pt>
                <c:pt idx="1">
                  <c:v>11</c:v>
                </c:pt>
                <c:pt idx="2">
                  <c:v>15.2</c:v>
                </c:pt>
                <c:pt idx="3">
                  <c:v>29.7</c:v>
                </c:pt>
                <c:pt idx="4">
                  <c:v>44.5</c:v>
                </c:pt>
                <c:pt idx="5">
                  <c:v>59.2</c:v>
                </c:pt>
                <c:pt idx="6">
                  <c:v>74.900000000000006</c:v>
                </c:pt>
                <c:pt idx="7">
                  <c:v>90.1</c:v>
                </c:pt>
              </c:numCache>
            </c:numRef>
          </c:xVal>
          <c:yVal>
            <c:numRef>
              <c:f>程式試驗!$R$4:$R$11</c:f>
              <c:numCache>
                <c:formatCode>General</c:formatCode>
                <c:ptCount val="8"/>
                <c:pt idx="0">
                  <c:v>2.23</c:v>
                </c:pt>
                <c:pt idx="1">
                  <c:v>2.42</c:v>
                </c:pt>
                <c:pt idx="2">
                  <c:v>2.59</c:v>
                </c:pt>
                <c:pt idx="3">
                  <c:v>2.96</c:v>
                </c:pt>
                <c:pt idx="4">
                  <c:v>3.22</c:v>
                </c:pt>
                <c:pt idx="5">
                  <c:v>3.28</c:v>
                </c:pt>
                <c:pt idx="6">
                  <c:v>3.24</c:v>
                </c:pt>
                <c:pt idx="7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B0-4EAC-A8F9-2A9747D86B9D}"/>
            </c:ext>
          </c:extLst>
        </c:ser>
        <c:ser>
          <c:idx val="4"/>
          <c:order val="4"/>
          <c:tx>
            <c:strRef>
              <c:f>程式試驗!$S$1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程式試驗!$S$4:$S$11</c:f>
              <c:numCache>
                <c:formatCode>General</c:formatCode>
                <c:ptCount val="8"/>
                <c:pt idx="0">
                  <c:v>6.1</c:v>
                </c:pt>
                <c:pt idx="1">
                  <c:v>10.4</c:v>
                </c:pt>
                <c:pt idx="2">
                  <c:v>14.1</c:v>
                </c:pt>
                <c:pt idx="3">
                  <c:v>29.2</c:v>
                </c:pt>
                <c:pt idx="4">
                  <c:v>45.2</c:v>
                </c:pt>
                <c:pt idx="5">
                  <c:v>60.1</c:v>
                </c:pt>
                <c:pt idx="6">
                  <c:v>75.400000000000006</c:v>
                </c:pt>
                <c:pt idx="7">
                  <c:v>90.1</c:v>
                </c:pt>
              </c:numCache>
            </c:numRef>
          </c:xVal>
          <c:yVal>
            <c:numRef>
              <c:f>程式試驗!$T$4:$T$11</c:f>
              <c:numCache>
                <c:formatCode>General</c:formatCode>
                <c:ptCount val="8"/>
                <c:pt idx="0">
                  <c:v>1.64</c:v>
                </c:pt>
                <c:pt idx="1">
                  <c:v>3.02</c:v>
                </c:pt>
                <c:pt idx="2">
                  <c:v>3.11</c:v>
                </c:pt>
                <c:pt idx="3">
                  <c:v>3.58</c:v>
                </c:pt>
                <c:pt idx="4">
                  <c:v>4.18</c:v>
                </c:pt>
                <c:pt idx="5">
                  <c:v>4.2300000000000004</c:v>
                </c:pt>
                <c:pt idx="6">
                  <c:v>4.1399999999999997</c:v>
                </c:pt>
                <c:pt idx="7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B0-4EAC-A8F9-2A9747D86B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不撕</a:t>
            </a:r>
            <a:r>
              <a:rPr lang="en-US" altLang="zh-TW"/>
              <a:t>*1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程式試驗!$A$1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程式試驗!$A$24:$A$31</c:f>
              <c:numCache>
                <c:formatCode>General</c:formatCode>
                <c:ptCount val="8"/>
                <c:pt idx="0">
                  <c:v>10</c:v>
                </c:pt>
                <c:pt idx="1">
                  <c:v>14.5</c:v>
                </c:pt>
                <c:pt idx="2">
                  <c:v>19.3</c:v>
                </c:pt>
                <c:pt idx="3">
                  <c:v>36.299999999999997</c:v>
                </c:pt>
                <c:pt idx="4">
                  <c:v>51.2</c:v>
                </c:pt>
                <c:pt idx="5">
                  <c:v>64.900000000000006</c:v>
                </c:pt>
                <c:pt idx="6">
                  <c:v>83.6</c:v>
                </c:pt>
                <c:pt idx="7">
                  <c:v>93.8</c:v>
                </c:pt>
              </c:numCache>
            </c:numRef>
          </c:xVal>
          <c:yVal>
            <c:numRef>
              <c:f>程式試驗!$B$24:$B$31</c:f>
              <c:numCache>
                <c:formatCode>General</c:formatCode>
                <c:ptCount val="8"/>
                <c:pt idx="0">
                  <c:v>0.18</c:v>
                </c:pt>
                <c:pt idx="1">
                  <c:v>0.24</c:v>
                </c:pt>
                <c:pt idx="2">
                  <c:v>0.28000000000000003</c:v>
                </c:pt>
                <c:pt idx="3">
                  <c:v>0.4</c:v>
                </c:pt>
                <c:pt idx="4">
                  <c:v>0.49</c:v>
                </c:pt>
                <c:pt idx="5">
                  <c:v>0.56000000000000005</c:v>
                </c:pt>
                <c:pt idx="6">
                  <c:v>0.61</c:v>
                </c:pt>
                <c:pt idx="7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C1-4762-BEEC-3D2C8F2EAD06}"/>
            </c:ext>
          </c:extLst>
        </c:ser>
        <c:ser>
          <c:idx val="1"/>
          <c:order val="1"/>
          <c:tx>
            <c:strRef>
              <c:f>程式試驗!$C$1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程式試驗!$C$24:$C$31</c:f>
              <c:numCache>
                <c:formatCode>General</c:formatCode>
                <c:ptCount val="8"/>
                <c:pt idx="0">
                  <c:v>9.5</c:v>
                </c:pt>
                <c:pt idx="1">
                  <c:v>14.1</c:v>
                </c:pt>
                <c:pt idx="2">
                  <c:v>18.899999999999999</c:v>
                </c:pt>
                <c:pt idx="3">
                  <c:v>33.1</c:v>
                </c:pt>
                <c:pt idx="4">
                  <c:v>54.9</c:v>
                </c:pt>
                <c:pt idx="5">
                  <c:v>64.599999999999994</c:v>
                </c:pt>
                <c:pt idx="6">
                  <c:v>78.900000000000006</c:v>
                </c:pt>
                <c:pt idx="7">
                  <c:v>92.8</c:v>
                </c:pt>
              </c:numCache>
            </c:numRef>
          </c:xVal>
          <c:yVal>
            <c:numRef>
              <c:f>程式試驗!$D$24:$D$31</c:f>
              <c:numCache>
                <c:formatCode>General</c:formatCode>
                <c:ptCount val="8"/>
                <c:pt idx="0">
                  <c:v>0.51</c:v>
                </c:pt>
                <c:pt idx="1">
                  <c:v>0.56000000000000005</c:v>
                </c:pt>
                <c:pt idx="2">
                  <c:v>0.62</c:v>
                </c:pt>
                <c:pt idx="3">
                  <c:v>0.81</c:v>
                </c:pt>
                <c:pt idx="4">
                  <c:v>0.97</c:v>
                </c:pt>
                <c:pt idx="5">
                  <c:v>1.1200000000000001</c:v>
                </c:pt>
                <c:pt idx="6">
                  <c:v>1.2</c:v>
                </c:pt>
                <c:pt idx="7">
                  <c:v>2.0299999999999998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C1-4762-BEEC-3D2C8F2EAD06}"/>
            </c:ext>
          </c:extLst>
        </c:ser>
        <c:ser>
          <c:idx val="2"/>
          <c:order val="2"/>
          <c:tx>
            <c:strRef>
              <c:f>程式試驗!$E$1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程式試驗!$E$24:$E$31</c:f>
              <c:numCache>
                <c:formatCode>General</c:formatCode>
                <c:ptCount val="8"/>
                <c:pt idx="0">
                  <c:v>9.4</c:v>
                </c:pt>
                <c:pt idx="1">
                  <c:v>13.9</c:v>
                </c:pt>
                <c:pt idx="2">
                  <c:v>18.7</c:v>
                </c:pt>
                <c:pt idx="3">
                  <c:v>33.5</c:v>
                </c:pt>
                <c:pt idx="4">
                  <c:v>47.2</c:v>
                </c:pt>
                <c:pt idx="5">
                  <c:v>53.6</c:v>
                </c:pt>
                <c:pt idx="6">
                  <c:v>78.2</c:v>
                </c:pt>
                <c:pt idx="7">
                  <c:v>92.8</c:v>
                </c:pt>
              </c:numCache>
            </c:numRef>
          </c:xVal>
          <c:yVal>
            <c:numRef>
              <c:f>程式試驗!$F$24:$F$31</c:f>
              <c:numCache>
                <c:formatCode>General</c:formatCode>
                <c:ptCount val="8"/>
                <c:pt idx="0">
                  <c:v>0.79</c:v>
                </c:pt>
                <c:pt idx="1">
                  <c:v>0.86</c:v>
                </c:pt>
                <c:pt idx="2">
                  <c:v>0.97</c:v>
                </c:pt>
                <c:pt idx="3">
                  <c:v>1.24</c:v>
                </c:pt>
                <c:pt idx="4">
                  <c:v>1.42</c:v>
                </c:pt>
                <c:pt idx="5">
                  <c:v>1.59</c:v>
                </c:pt>
                <c:pt idx="6">
                  <c:v>1.8</c:v>
                </c:pt>
                <c:pt idx="7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C1-4762-BEEC-3D2C8F2EAD06}"/>
            </c:ext>
          </c:extLst>
        </c:ser>
        <c:ser>
          <c:idx val="3"/>
          <c:order val="3"/>
          <c:tx>
            <c:strRef>
              <c:f>程式試驗!$G$1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程式試驗!$G$24:$G$31</c:f>
              <c:numCache>
                <c:formatCode>General</c:formatCode>
                <c:ptCount val="8"/>
                <c:pt idx="0">
                  <c:v>9.1999999999999993</c:v>
                </c:pt>
                <c:pt idx="1">
                  <c:v>13.6</c:v>
                </c:pt>
                <c:pt idx="2">
                  <c:v>18</c:v>
                </c:pt>
                <c:pt idx="3">
                  <c:v>32.5</c:v>
                </c:pt>
                <c:pt idx="4">
                  <c:v>48</c:v>
                </c:pt>
                <c:pt idx="5">
                  <c:v>62.1</c:v>
                </c:pt>
                <c:pt idx="6">
                  <c:v>79.2</c:v>
                </c:pt>
                <c:pt idx="7">
                  <c:v>93</c:v>
                </c:pt>
              </c:numCache>
            </c:numRef>
          </c:xVal>
          <c:yVal>
            <c:numRef>
              <c:f>程式試驗!$H$24:$H$31</c:f>
              <c:numCache>
                <c:formatCode>General</c:formatCode>
                <c:ptCount val="8"/>
                <c:pt idx="0">
                  <c:v>1.1100000000000001</c:v>
                </c:pt>
                <c:pt idx="1">
                  <c:v>1.22</c:v>
                </c:pt>
                <c:pt idx="2">
                  <c:v>1.41</c:v>
                </c:pt>
                <c:pt idx="3">
                  <c:v>1.71</c:v>
                </c:pt>
                <c:pt idx="4">
                  <c:v>1.97</c:v>
                </c:pt>
                <c:pt idx="5">
                  <c:v>2.2599999999999998</c:v>
                </c:pt>
                <c:pt idx="6">
                  <c:v>2.5099999999999998</c:v>
                </c:pt>
                <c:pt idx="7">
                  <c:v>4.0199999999999996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C1-4762-BEEC-3D2C8F2EAD06}"/>
            </c:ext>
          </c:extLst>
        </c:ser>
        <c:ser>
          <c:idx val="4"/>
          <c:order val="4"/>
          <c:tx>
            <c:strRef>
              <c:f>程式試驗!$I$1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程式試驗!$I$24:$I$31</c:f>
              <c:numCache>
                <c:formatCode>General</c:formatCode>
                <c:ptCount val="8"/>
                <c:pt idx="0">
                  <c:v>9.6</c:v>
                </c:pt>
                <c:pt idx="1">
                  <c:v>13.9</c:v>
                </c:pt>
                <c:pt idx="2">
                  <c:v>18.7</c:v>
                </c:pt>
                <c:pt idx="3">
                  <c:v>33.1</c:v>
                </c:pt>
                <c:pt idx="4">
                  <c:v>47.9</c:v>
                </c:pt>
                <c:pt idx="5">
                  <c:v>64.2</c:v>
                </c:pt>
                <c:pt idx="6">
                  <c:v>78</c:v>
                </c:pt>
                <c:pt idx="7">
                  <c:v>92.2</c:v>
                </c:pt>
              </c:numCache>
            </c:numRef>
          </c:xVal>
          <c:yVal>
            <c:numRef>
              <c:f>程式試驗!$J$24:$J$31</c:f>
              <c:numCache>
                <c:formatCode>General</c:formatCode>
                <c:ptCount val="8"/>
                <c:pt idx="0">
                  <c:v>1.24</c:v>
                </c:pt>
                <c:pt idx="1">
                  <c:v>1.61</c:v>
                </c:pt>
                <c:pt idx="2">
                  <c:v>1.72</c:v>
                </c:pt>
                <c:pt idx="3">
                  <c:v>2.15</c:v>
                </c:pt>
                <c:pt idx="4">
                  <c:v>2.4700000000000002</c:v>
                </c:pt>
                <c:pt idx="5">
                  <c:v>2.87</c:v>
                </c:pt>
                <c:pt idx="6">
                  <c:v>3.03</c:v>
                </c:pt>
                <c:pt idx="7">
                  <c:v>4.9800000000000004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C1-4762-BEEC-3D2C8F2EAD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不撕</a:t>
            </a:r>
            <a:r>
              <a:rPr lang="en-US" altLang="zh-TW"/>
              <a:t>*1.5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程式試驗!$K$1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程式試驗!$K$24:$K$31</c:f>
              <c:numCache>
                <c:formatCode>General</c:formatCode>
                <c:ptCount val="8"/>
                <c:pt idx="0">
                  <c:v>7.8</c:v>
                </c:pt>
                <c:pt idx="1">
                  <c:v>12.1</c:v>
                </c:pt>
                <c:pt idx="2">
                  <c:v>17.100000000000001</c:v>
                </c:pt>
                <c:pt idx="3">
                  <c:v>31.1</c:v>
                </c:pt>
                <c:pt idx="4">
                  <c:v>47</c:v>
                </c:pt>
                <c:pt idx="5">
                  <c:v>62.2</c:v>
                </c:pt>
                <c:pt idx="6">
                  <c:v>76.8</c:v>
                </c:pt>
                <c:pt idx="7">
                  <c:v>90.5</c:v>
                </c:pt>
              </c:numCache>
            </c:numRef>
          </c:xVal>
          <c:yVal>
            <c:numRef>
              <c:f>程式試驗!$L$24:$L$31</c:f>
              <c:numCache>
                <c:formatCode>General</c:formatCode>
                <c:ptCount val="8"/>
                <c:pt idx="0">
                  <c:v>0.41</c:v>
                </c:pt>
                <c:pt idx="1">
                  <c:v>0.47</c:v>
                </c:pt>
                <c:pt idx="2">
                  <c:v>0.56000000000000005</c:v>
                </c:pt>
                <c:pt idx="3">
                  <c:v>0.77</c:v>
                </c:pt>
                <c:pt idx="4">
                  <c:v>0.89</c:v>
                </c:pt>
                <c:pt idx="5">
                  <c:v>1.01</c:v>
                </c:pt>
                <c:pt idx="6">
                  <c:v>1.03</c:v>
                </c:pt>
                <c:pt idx="7">
                  <c:v>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08-4374-9813-E7D7FF98341F}"/>
            </c:ext>
          </c:extLst>
        </c:ser>
        <c:ser>
          <c:idx val="1"/>
          <c:order val="1"/>
          <c:tx>
            <c:strRef>
              <c:f>程式試驗!$M$1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程式試驗!$M$24:$M$31</c:f>
              <c:numCache>
                <c:formatCode>General</c:formatCode>
                <c:ptCount val="8"/>
                <c:pt idx="0">
                  <c:v>7.6</c:v>
                </c:pt>
                <c:pt idx="1">
                  <c:v>11.8</c:v>
                </c:pt>
                <c:pt idx="2">
                  <c:v>16.399999999999999</c:v>
                </c:pt>
                <c:pt idx="3">
                  <c:v>30.6</c:v>
                </c:pt>
                <c:pt idx="4">
                  <c:v>46.2</c:v>
                </c:pt>
                <c:pt idx="5">
                  <c:v>59.8</c:v>
                </c:pt>
                <c:pt idx="6">
                  <c:v>76</c:v>
                </c:pt>
                <c:pt idx="7">
                  <c:v>91.5</c:v>
                </c:pt>
              </c:numCache>
            </c:numRef>
          </c:xVal>
          <c:yVal>
            <c:numRef>
              <c:f>程式試驗!$N$24:$N$31</c:f>
              <c:numCache>
                <c:formatCode>General</c:formatCode>
                <c:ptCount val="8"/>
                <c:pt idx="0">
                  <c:v>0.9</c:v>
                </c:pt>
                <c:pt idx="1">
                  <c:v>1.1200000000000001</c:v>
                </c:pt>
                <c:pt idx="2">
                  <c:v>1.29</c:v>
                </c:pt>
                <c:pt idx="3">
                  <c:v>1.59</c:v>
                </c:pt>
                <c:pt idx="4">
                  <c:v>1.84</c:v>
                </c:pt>
                <c:pt idx="5">
                  <c:v>2</c:v>
                </c:pt>
                <c:pt idx="6">
                  <c:v>2.1</c:v>
                </c:pt>
                <c:pt idx="7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08-4374-9813-E7D7FF98341F}"/>
            </c:ext>
          </c:extLst>
        </c:ser>
        <c:ser>
          <c:idx val="2"/>
          <c:order val="2"/>
          <c:tx>
            <c:strRef>
              <c:f>程式試驗!$O$1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程式試驗!$O$24:$O$31</c:f>
              <c:numCache>
                <c:formatCode>General</c:formatCode>
                <c:ptCount val="8"/>
                <c:pt idx="0">
                  <c:v>6.9</c:v>
                </c:pt>
                <c:pt idx="1">
                  <c:v>11.5</c:v>
                </c:pt>
                <c:pt idx="2">
                  <c:v>16.2</c:v>
                </c:pt>
                <c:pt idx="3">
                  <c:v>30.1</c:v>
                </c:pt>
                <c:pt idx="4">
                  <c:v>45.9</c:v>
                </c:pt>
                <c:pt idx="5">
                  <c:v>61.1</c:v>
                </c:pt>
                <c:pt idx="6">
                  <c:v>76</c:v>
                </c:pt>
                <c:pt idx="7">
                  <c:v>90.1</c:v>
                </c:pt>
              </c:numCache>
            </c:numRef>
          </c:xVal>
          <c:yVal>
            <c:numRef>
              <c:f>程式試驗!$P$24:$P$31</c:f>
              <c:numCache>
                <c:formatCode>General</c:formatCode>
                <c:ptCount val="8"/>
                <c:pt idx="0">
                  <c:v>1.46</c:v>
                </c:pt>
                <c:pt idx="1">
                  <c:v>1.71</c:v>
                </c:pt>
                <c:pt idx="2">
                  <c:v>1.91</c:v>
                </c:pt>
                <c:pt idx="3">
                  <c:v>2.4</c:v>
                </c:pt>
                <c:pt idx="4">
                  <c:v>2.8</c:v>
                </c:pt>
                <c:pt idx="5">
                  <c:v>3.02</c:v>
                </c:pt>
                <c:pt idx="6">
                  <c:v>3.2</c:v>
                </c:pt>
                <c:pt idx="7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08-4374-9813-E7D7FF98341F}"/>
            </c:ext>
          </c:extLst>
        </c:ser>
        <c:ser>
          <c:idx val="3"/>
          <c:order val="3"/>
          <c:tx>
            <c:strRef>
              <c:f>程式試驗!$Q$1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程式試驗!$Q$24:$Q$31</c:f>
              <c:numCache>
                <c:formatCode>General</c:formatCode>
                <c:ptCount val="8"/>
                <c:pt idx="0">
                  <c:v>7.1</c:v>
                </c:pt>
                <c:pt idx="1">
                  <c:v>12</c:v>
                </c:pt>
                <c:pt idx="2">
                  <c:v>16</c:v>
                </c:pt>
                <c:pt idx="3">
                  <c:v>29.7</c:v>
                </c:pt>
                <c:pt idx="4">
                  <c:v>44</c:v>
                </c:pt>
                <c:pt idx="5">
                  <c:v>60.5</c:v>
                </c:pt>
                <c:pt idx="6">
                  <c:v>75.3</c:v>
                </c:pt>
                <c:pt idx="7">
                  <c:v>90.2</c:v>
                </c:pt>
              </c:numCache>
            </c:numRef>
          </c:xVal>
          <c:yVal>
            <c:numRef>
              <c:f>程式試驗!$R$24:$R$31</c:f>
              <c:numCache>
                <c:formatCode>General</c:formatCode>
                <c:ptCount val="8"/>
                <c:pt idx="0">
                  <c:v>1.93</c:v>
                </c:pt>
                <c:pt idx="1">
                  <c:v>2.4</c:v>
                </c:pt>
                <c:pt idx="2">
                  <c:v>2.62</c:v>
                </c:pt>
                <c:pt idx="3">
                  <c:v>3.15</c:v>
                </c:pt>
                <c:pt idx="4">
                  <c:v>3.62</c:v>
                </c:pt>
                <c:pt idx="5">
                  <c:v>3.82</c:v>
                </c:pt>
                <c:pt idx="6">
                  <c:v>4.2</c:v>
                </c:pt>
                <c:pt idx="7">
                  <c:v>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08-4374-9813-E7D7FF98341F}"/>
            </c:ext>
          </c:extLst>
        </c:ser>
        <c:ser>
          <c:idx val="4"/>
          <c:order val="4"/>
          <c:tx>
            <c:strRef>
              <c:f>程式試驗!$S$1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程式試驗!$S$24:$S$31</c:f>
              <c:numCache>
                <c:formatCode>General</c:formatCode>
                <c:ptCount val="8"/>
                <c:pt idx="0">
                  <c:v>7.6</c:v>
                </c:pt>
                <c:pt idx="1">
                  <c:v>11.8</c:v>
                </c:pt>
                <c:pt idx="2">
                  <c:v>16.100000000000001</c:v>
                </c:pt>
                <c:pt idx="3">
                  <c:v>29.8</c:v>
                </c:pt>
                <c:pt idx="4">
                  <c:v>44.5</c:v>
                </c:pt>
                <c:pt idx="5">
                  <c:v>59.5</c:v>
                </c:pt>
                <c:pt idx="6">
                  <c:v>75.8</c:v>
                </c:pt>
                <c:pt idx="7">
                  <c:v>90</c:v>
                </c:pt>
              </c:numCache>
            </c:numRef>
          </c:xVal>
          <c:yVal>
            <c:numRef>
              <c:f>程式試驗!$T$24:$T$31</c:f>
              <c:numCache>
                <c:formatCode>General</c:formatCode>
                <c:ptCount val="8"/>
                <c:pt idx="0">
                  <c:v>2.62</c:v>
                </c:pt>
                <c:pt idx="1">
                  <c:v>2.98</c:v>
                </c:pt>
                <c:pt idx="2">
                  <c:v>3.19</c:v>
                </c:pt>
                <c:pt idx="3">
                  <c:v>3.86</c:v>
                </c:pt>
                <c:pt idx="4">
                  <c:v>4.53</c:v>
                </c:pt>
                <c:pt idx="5">
                  <c:v>5.0199999999999996</c:v>
                </c:pt>
                <c:pt idx="6">
                  <c:v>5.34</c:v>
                </c:pt>
                <c:pt idx="7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08-4374-9813-E7D7FF9834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不撕</a:t>
            </a:r>
            <a:r>
              <a:rPr lang="en-US" altLang="zh-TW"/>
              <a:t>*2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程式試驗!$U$1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程式試驗!$U$24:$U$31</c:f>
              <c:numCache>
                <c:formatCode>General</c:formatCode>
                <c:ptCount val="8"/>
                <c:pt idx="0">
                  <c:v>5.9</c:v>
                </c:pt>
                <c:pt idx="1">
                  <c:v>5.8</c:v>
                </c:pt>
                <c:pt idx="2">
                  <c:v>9.4</c:v>
                </c:pt>
                <c:pt idx="3">
                  <c:v>14.8</c:v>
                </c:pt>
                <c:pt idx="4">
                  <c:v>24.8</c:v>
                </c:pt>
                <c:pt idx="5">
                  <c:v>35.9</c:v>
                </c:pt>
                <c:pt idx="6">
                  <c:v>43.9</c:v>
                </c:pt>
                <c:pt idx="7">
                  <c:v>50</c:v>
                </c:pt>
              </c:numCache>
            </c:numRef>
          </c:xVal>
          <c:yVal>
            <c:numRef>
              <c:f>程式試驗!$V$24:$V$31</c:f>
              <c:numCache>
                <c:formatCode>General</c:formatCode>
                <c:ptCount val="8"/>
                <c:pt idx="0">
                  <c:v>0.71</c:v>
                </c:pt>
                <c:pt idx="1">
                  <c:v>0.71</c:v>
                </c:pt>
                <c:pt idx="2">
                  <c:v>0.88</c:v>
                </c:pt>
                <c:pt idx="3">
                  <c:v>1.0900000000000001</c:v>
                </c:pt>
                <c:pt idx="4">
                  <c:v>1.31</c:v>
                </c:pt>
                <c:pt idx="5">
                  <c:v>1.5</c:v>
                </c:pt>
                <c:pt idx="6">
                  <c:v>1.57</c:v>
                </c:pt>
                <c:pt idx="7">
                  <c:v>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5-4B32-AC33-FD720E4C1D8E}"/>
            </c:ext>
          </c:extLst>
        </c:ser>
        <c:ser>
          <c:idx val="1"/>
          <c:order val="1"/>
          <c:tx>
            <c:strRef>
              <c:f>程式試驗!$W$1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程式試驗!$W$24:$W$31</c:f>
              <c:numCache>
                <c:formatCode>General</c:formatCode>
                <c:ptCount val="8"/>
                <c:pt idx="0">
                  <c:v>5.9</c:v>
                </c:pt>
                <c:pt idx="1">
                  <c:v>5.8</c:v>
                </c:pt>
                <c:pt idx="2">
                  <c:v>6.1</c:v>
                </c:pt>
                <c:pt idx="3">
                  <c:v>13.8</c:v>
                </c:pt>
                <c:pt idx="4">
                  <c:v>24.1</c:v>
                </c:pt>
                <c:pt idx="5">
                  <c:v>31.8</c:v>
                </c:pt>
                <c:pt idx="6">
                  <c:v>41.1</c:v>
                </c:pt>
                <c:pt idx="7">
                  <c:v>44.6</c:v>
                </c:pt>
              </c:numCache>
            </c:numRef>
          </c:xVal>
          <c:yVal>
            <c:numRef>
              <c:f>程式試驗!$X$24:$X$31</c:f>
              <c:numCache>
                <c:formatCode>General</c:formatCode>
                <c:ptCount val="8"/>
                <c:pt idx="0">
                  <c:v>1.52</c:v>
                </c:pt>
                <c:pt idx="1">
                  <c:v>1.52</c:v>
                </c:pt>
                <c:pt idx="2">
                  <c:v>1.54</c:v>
                </c:pt>
                <c:pt idx="3">
                  <c:v>2.15</c:v>
                </c:pt>
                <c:pt idx="4">
                  <c:v>2.6</c:v>
                </c:pt>
                <c:pt idx="5">
                  <c:v>2.98</c:v>
                </c:pt>
                <c:pt idx="6">
                  <c:v>3.13</c:v>
                </c:pt>
                <c:pt idx="7">
                  <c:v>3.26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35-4B32-AC33-FD720E4C1D8E}"/>
            </c:ext>
          </c:extLst>
        </c:ser>
        <c:ser>
          <c:idx val="2"/>
          <c:order val="2"/>
          <c:tx>
            <c:strRef>
              <c:f>程式試驗!$Y$1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程式試驗!$Y$24:$Y$31</c:f>
              <c:numCache>
                <c:formatCode>General</c:formatCode>
                <c:ptCount val="8"/>
                <c:pt idx="0">
                  <c:v>6.01</c:v>
                </c:pt>
                <c:pt idx="1">
                  <c:v>5.0999999999999996</c:v>
                </c:pt>
                <c:pt idx="2">
                  <c:v>5.6</c:v>
                </c:pt>
                <c:pt idx="3">
                  <c:v>13.2</c:v>
                </c:pt>
                <c:pt idx="4">
                  <c:v>25.4</c:v>
                </c:pt>
                <c:pt idx="5">
                  <c:v>35.4</c:v>
                </c:pt>
                <c:pt idx="6">
                  <c:v>42.7</c:v>
                </c:pt>
                <c:pt idx="7">
                  <c:v>51.6</c:v>
                </c:pt>
              </c:numCache>
            </c:numRef>
          </c:xVal>
          <c:yVal>
            <c:numRef>
              <c:f>程式試驗!$Z$24:$Z$31</c:f>
              <c:numCache>
                <c:formatCode>General</c:formatCode>
                <c:ptCount val="8"/>
                <c:pt idx="0">
                  <c:v>2.4</c:v>
                </c:pt>
                <c:pt idx="1">
                  <c:v>2.34</c:v>
                </c:pt>
                <c:pt idx="2">
                  <c:v>2.36</c:v>
                </c:pt>
                <c:pt idx="3">
                  <c:v>3.26</c:v>
                </c:pt>
                <c:pt idx="4">
                  <c:v>4.03</c:v>
                </c:pt>
                <c:pt idx="5">
                  <c:v>4.46</c:v>
                </c:pt>
                <c:pt idx="6">
                  <c:v>4.74</c:v>
                </c:pt>
                <c:pt idx="7">
                  <c:v>5.03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35-4B32-AC33-FD720E4C1D8E}"/>
            </c:ext>
          </c:extLst>
        </c:ser>
        <c:ser>
          <c:idx val="3"/>
          <c:order val="3"/>
          <c:tx>
            <c:strRef>
              <c:f>程式試驗!$AA$1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程式試驗!$AA$24:$AA$31</c:f>
              <c:numCache>
                <c:formatCode>General</c:formatCode>
                <c:ptCount val="8"/>
                <c:pt idx="0">
                  <c:v>5.4</c:v>
                </c:pt>
                <c:pt idx="1">
                  <c:v>5.9</c:v>
                </c:pt>
                <c:pt idx="2">
                  <c:v>5.9</c:v>
                </c:pt>
                <c:pt idx="3">
                  <c:v>10.9</c:v>
                </c:pt>
                <c:pt idx="4">
                  <c:v>25.9</c:v>
                </c:pt>
                <c:pt idx="5">
                  <c:v>33.299999999999997</c:v>
                </c:pt>
                <c:pt idx="6">
                  <c:v>41.8</c:v>
                </c:pt>
                <c:pt idx="7">
                  <c:v>52.7</c:v>
                </c:pt>
              </c:numCache>
            </c:numRef>
          </c:xVal>
          <c:yVal>
            <c:numRef>
              <c:f>程式試驗!$AB$24:$AB$31</c:f>
              <c:numCache>
                <c:formatCode>General</c:formatCode>
                <c:ptCount val="8"/>
                <c:pt idx="0">
                  <c:v>3.07</c:v>
                </c:pt>
                <c:pt idx="1">
                  <c:v>3.15</c:v>
                </c:pt>
                <c:pt idx="2">
                  <c:v>3.15</c:v>
                </c:pt>
                <c:pt idx="3">
                  <c:v>4.25</c:v>
                </c:pt>
                <c:pt idx="4">
                  <c:v>5.43</c:v>
                </c:pt>
                <c:pt idx="5">
                  <c:v>5.9</c:v>
                </c:pt>
                <c:pt idx="6">
                  <c:v>6.26</c:v>
                </c:pt>
                <c:pt idx="7">
                  <c:v>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35-4B32-AC33-FD720E4C1D8E}"/>
            </c:ext>
          </c:extLst>
        </c:ser>
        <c:ser>
          <c:idx val="4"/>
          <c:order val="4"/>
          <c:tx>
            <c:strRef>
              <c:f>程式試驗!$AC$1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程式試驗!$AC$24:$AC$31</c:f>
              <c:numCache>
                <c:formatCode>General</c:formatCode>
                <c:ptCount val="8"/>
                <c:pt idx="0">
                  <c:v>5.0599999999999996</c:v>
                </c:pt>
                <c:pt idx="1">
                  <c:v>6.01</c:v>
                </c:pt>
                <c:pt idx="2">
                  <c:v>8.1</c:v>
                </c:pt>
                <c:pt idx="3">
                  <c:v>15.5</c:v>
                </c:pt>
                <c:pt idx="4">
                  <c:v>24.9</c:v>
                </c:pt>
                <c:pt idx="5">
                  <c:v>33.299999999999997</c:v>
                </c:pt>
                <c:pt idx="6">
                  <c:v>42.9</c:v>
                </c:pt>
                <c:pt idx="7">
                  <c:v>51.7</c:v>
                </c:pt>
              </c:numCache>
            </c:numRef>
          </c:xVal>
          <c:yVal>
            <c:numRef>
              <c:f>程式試驗!$AD$24:$AD$31</c:f>
              <c:numCache>
                <c:formatCode>General</c:formatCode>
                <c:ptCount val="8"/>
                <c:pt idx="0">
                  <c:v>3.95</c:v>
                </c:pt>
                <c:pt idx="1">
                  <c:v>4.01</c:v>
                </c:pt>
                <c:pt idx="2">
                  <c:v>4.4800000000000004</c:v>
                </c:pt>
                <c:pt idx="3">
                  <c:v>5.71</c:v>
                </c:pt>
                <c:pt idx="4">
                  <c:v>6.52</c:v>
                </c:pt>
                <c:pt idx="5">
                  <c:v>7.38</c:v>
                </c:pt>
                <c:pt idx="6">
                  <c:v>8</c:v>
                </c:pt>
                <c:pt idx="7">
                  <c:v>8.23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35-4B32-AC33-FD720E4C1D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/</a:t>
            </a:r>
            <a:r>
              <a:rPr lang="zh-TW" altLang="en-US"/>
              <a:t>不撕</a:t>
            </a:r>
            <a:r>
              <a:rPr lang="en-US" altLang="zh-TW"/>
              <a:t>*1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程式預測!$B$1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程式預測!$B$14:$B$21</c:f>
              <c:numCache>
                <c:formatCode>General</c:formatCode>
                <c:ptCount val="8"/>
                <c:pt idx="0">
                  <c:v>0.18</c:v>
                </c:pt>
                <c:pt idx="1">
                  <c:v>0.24</c:v>
                </c:pt>
                <c:pt idx="2">
                  <c:v>0.28999999999999998</c:v>
                </c:pt>
                <c:pt idx="3">
                  <c:v>0.4</c:v>
                </c:pt>
                <c:pt idx="4">
                  <c:v>0.49</c:v>
                </c:pt>
                <c:pt idx="5">
                  <c:v>0.56000000000000005</c:v>
                </c:pt>
                <c:pt idx="6">
                  <c:v>0.61</c:v>
                </c:pt>
                <c:pt idx="7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C-492C-BE7A-018A939CBCD9}"/>
            </c:ext>
          </c:extLst>
        </c:ser>
        <c:ser>
          <c:idx val="1"/>
          <c:order val="1"/>
          <c:tx>
            <c:strRef>
              <c:f>程式預測!$C$1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程式預測!$C$14:$C$21</c:f>
              <c:numCache>
                <c:formatCode>General</c:formatCode>
                <c:ptCount val="8"/>
                <c:pt idx="0">
                  <c:v>0.36</c:v>
                </c:pt>
                <c:pt idx="1">
                  <c:v>0.48</c:v>
                </c:pt>
                <c:pt idx="2">
                  <c:v>0.56999999999999995</c:v>
                </c:pt>
                <c:pt idx="3">
                  <c:v>0.8</c:v>
                </c:pt>
                <c:pt idx="4">
                  <c:v>0.99</c:v>
                </c:pt>
                <c:pt idx="5">
                  <c:v>1.1299999999999999</c:v>
                </c:pt>
                <c:pt idx="6">
                  <c:v>1.21</c:v>
                </c:pt>
                <c:pt idx="7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FC-492C-BE7A-018A939CBCD9}"/>
            </c:ext>
          </c:extLst>
        </c:ser>
        <c:ser>
          <c:idx val="2"/>
          <c:order val="2"/>
          <c:tx>
            <c:strRef>
              <c:f>程式預測!$D$1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程式預測!$D$14:$D$21</c:f>
              <c:numCache>
                <c:formatCode>General</c:formatCode>
                <c:ptCount val="8"/>
                <c:pt idx="0">
                  <c:v>0.54</c:v>
                </c:pt>
                <c:pt idx="1">
                  <c:v>0.72</c:v>
                </c:pt>
                <c:pt idx="2">
                  <c:v>0.86</c:v>
                </c:pt>
                <c:pt idx="3">
                  <c:v>1.2</c:v>
                </c:pt>
                <c:pt idx="4">
                  <c:v>1.48</c:v>
                </c:pt>
                <c:pt idx="5">
                  <c:v>1.69</c:v>
                </c:pt>
                <c:pt idx="6">
                  <c:v>1.82</c:v>
                </c:pt>
                <c:pt idx="7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FC-492C-BE7A-018A939CBCD9}"/>
            </c:ext>
          </c:extLst>
        </c:ser>
        <c:ser>
          <c:idx val="3"/>
          <c:order val="3"/>
          <c:tx>
            <c:strRef>
              <c:f>程式預測!$E$1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程式預測!$E$14:$E$21</c:f>
              <c:numCache>
                <c:formatCode>General</c:formatCode>
                <c:ptCount val="8"/>
                <c:pt idx="0">
                  <c:v>0.73</c:v>
                </c:pt>
                <c:pt idx="1">
                  <c:v>0.95</c:v>
                </c:pt>
                <c:pt idx="2">
                  <c:v>1.1399999999999999</c:v>
                </c:pt>
                <c:pt idx="3">
                  <c:v>1.6</c:v>
                </c:pt>
                <c:pt idx="4">
                  <c:v>1.97</c:v>
                </c:pt>
                <c:pt idx="5">
                  <c:v>2.2599999999999998</c:v>
                </c:pt>
                <c:pt idx="6">
                  <c:v>2.4300000000000002</c:v>
                </c:pt>
                <c:pt idx="7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FC-492C-BE7A-018A939CBCD9}"/>
            </c:ext>
          </c:extLst>
        </c:ser>
        <c:ser>
          <c:idx val="4"/>
          <c:order val="4"/>
          <c:tx>
            <c:strRef>
              <c:f>程式預測!$F$1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程式預測!$F$14:$F$21</c:f>
              <c:numCache>
                <c:formatCode>General</c:formatCode>
                <c:ptCount val="8"/>
                <c:pt idx="0">
                  <c:v>0.91</c:v>
                </c:pt>
                <c:pt idx="1">
                  <c:v>1.19</c:v>
                </c:pt>
                <c:pt idx="2">
                  <c:v>1.43</c:v>
                </c:pt>
                <c:pt idx="3">
                  <c:v>2</c:v>
                </c:pt>
                <c:pt idx="4">
                  <c:v>2.4700000000000002</c:v>
                </c:pt>
                <c:pt idx="5">
                  <c:v>2.82</c:v>
                </c:pt>
                <c:pt idx="6">
                  <c:v>3.03</c:v>
                </c:pt>
                <c:pt idx="7">
                  <c:v>3.12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FC-492C-BE7A-018A939CBCD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/</a:t>
            </a:r>
            <a:r>
              <a:rPr lang="zh-TW" altLang="en-US"/>
              <a:t>不撕</a:t>
            </a:r>
            <a:r>
              <a:rPr lang="en-US" altLang="zh-TW"/>
              <a:t>*1.5</a:t>
            </a:r>
            <a:endParaRPr lang="zh-TW" altLang="en-US"/>
          </a:p>
        </c:rich>
      </c:tx>
      <c:layout>
        <c:manualLayout>
          <c:xMode val="edge"/>
          <c:yMode val="edge"/>
          <c:x val="0.4244444444444444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程式預測!$H$1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程式預測!$H$14:$H$21</c:f>
              <c:numCache>
                <c:formatCode>General</c:formatCode>
                <c:ptCount val="8"/>
                <c:pt idx="0">
                  <c:v>0.34</c:v>
                </c:pt>
                <c:pt idx="1">
                  <c:v>0.44</c:v>
                </c:pt>
                <c:pt idx="2">
                  <c:v>0.53</c:v>
                </c:pt>
                <c:pt idx="3">
                  <c:v>0.73</c:v>
                </c:pt>
                <c:pt idx="4">
                  <c:v>0.88</c:v>
                </c:pt>
                <c:pt idx="5">
                  <c:v>0.99</c:v>
                </c:pt>
                <c:pt idx="6">
                  <c:v>1.05</c:v>
                </c:pt>
                <c:pt idx="7">
                  <c:v>1.06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95-43BA-B343-C01A27538157}"/>
            </c:ext>
          </c:extLst>
        </c:ser>
        <c:ser>
          <c:idx val="1"/>
          <c:order val="1"/>
          <c:tx>
            <c:strRef>
              <c:f>程式預測!$I$1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程式預測!$I$14:$I$21</c:f>
              <c:numCache>
                <c:formatCode>General</c:formatCode>
                <c:ptCount val="8"/>
                <c:pt idx="0">
                  <c:v>0.67</c:v>
                </c:pt>
                <c:pt idx="1">
                  <c:v>0.88</c:v>
                </c:pt>
                <c:pt idx="2">
                  <c:v>1.05</c:v>
                </c:pt>
                <c:pt idx="3">
                  <c:v>1.46</c:v>
                </c:pt>
                <c:pt idx="4">
                  <c:v>1.77</c:v>
                </c:pt>
                <c:pt idx="5">
                  <c:v>1.99</c:v>
                </c:pt>
                <c:pt idx="6">
                  <c:v>2.1</c:v>
                </c:pt>
                <c:pt idx="7">
                  <c:v>2.11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95-43BA-B343-C01A27538157}"/>
            </c:ext>
          </c:extLst>
        </c:ser>
        <c:ser>
          <c:idx val="2"/>
          <c:order val="2"/>
          <c:tx>
            <c:strRef>
              <c:f>程式預測!$J$1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程式預測!$J$14:$J$21</c:f>
              <c:numCache>
                <c:formatCode>General</c:formatCode>
                <c:ptCount val="8"/>
                <c:pt idx="0">
                  <c:v>1.01</c:v>
                </c:pt>
                <c:pt idx="1">
                  <c:v>1.32</c:v>
                </c:pt>
                <c:pt idx="2">
                  <c:v>1.58</c:v>
                </c:pt>
                <c:pt idx="3">
                  <c:v>2.19</c:v>
                </c:pt>
                <c:pt idx="4">
                  <c:v>2.65</c:v>
                </c:pt>
                <c:pt idx="5">
                  <c:v>2.98</c:v>
                </c:pt>
                <c:pt idx="6">
                  <c:v>3.15</c:v>
                </c:pt>
                <c:pt idx="7">
                  <c:v>3.17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95-43BA-B343-C01A27538157}"/>
            </c:ext>
          </c:extLst>
        </c:ser>
        <c:ser>
          <c:idx val="3"/>
          <c:order val="3"/>
          <c:tx>
            <c:strRef>
              <c:f>程式預測!$K$1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程式預測!$K$14:$K$21</c:f>
              <c:numCache>
                <c:formatCode>General</c:formatCode>
                <c:ptCount val="8"/>
                <c:pt idx="0">
                  <c:v>1.34</c:v>
                </c:pt>
                <c:pt idx="1">
                  <c:v>1.77</c:v>
                </c:pt>
                <c:pt idx="2">
                  <c:v>2.1</c:v>
                </c:pt>
                <c:pt idx="3">
                  <c:v>2.92</c:v>
                </c:pt>
                <c:pt idx="4">
                  <c:v>3.54</c:v>
                </c:pt>
                <c:pt idx="5">
                  <c:v>3.98</c:v>
                </c:pt>
                <c:pt idx="6">
                  <c:v>4.2</c:v>
                </c:pt>
                <c:pt idx="7">
                  <c:v>4.22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95-43BA-B343-C01A27538157}"/>
            </c:ext>
          </c:extLst>
        </c:ser>
        <c:ser>
          <c:idx val="4"/>
          <c:order val="4"/>
          <c:tx>
            <c:strRef>
              <c:f>程式預測!$L$1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程式預測!$L$14:$L$21</c:f>
              <c:numCache>
                <c:formatCode>General</c:formatCode>
                <c:ptCount val="8"/>
                <c:pt idx="0">
                  <c:v>1.68</c:v>
                </c:pt>
                <c:pt idx="1">
                  <c:v>2.21</c:v>
                </c:pt>
                <c:pt idx="2">
                  <c:v>2.63</c:v>
                </c:pt>
                <c:pt idx="3">
                  <c:v>3.65</c:v>
                </c:pt>
                <c:pt idx="4">
                  <c:v>4.42</c:v>
                </c:pt>
                <c:pt idx="5">
                  <c:v>4.97</c:v>
                </c:pt>
                <c:pt idx="6">
                  <c:v>5.25</c:v>
                </c:pt>
                <c:pt idx="7">
                  <c:v>5.28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95-43BA-B343-C01A275381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/</a:t>
            </a:r>
            <a:r>
              <a:rPr lang="zh-TW" altLang="en-US"/>
              <a:t>不撕</a:t>
            </a:r>
            <a:r>
              <a:rPr lang="en-US" altLang="zh-TW"/>
              <a:t>*2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程式預測!$N$1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程式預測!$N$14:$N$21</c:f>
              <c:numCache>
                <c:formatCode>General</c:formatCode>
                <c:ptCount val="8"/>
                <c:pt idx="0">
                  <c:v>0.48</c:v>
                </c:pt>
                <c:pt idx="1">
                  <c:v>0.64</c:v>
                </c:pt>
                <c:pt idx="2">
                  <c:v>0.76</c:v>
                </c:pt>
                <c:pt idx="3">
                  <c:v>1.06</c:v>
                </c:pt>
                <c:pt idx="4">
                  <c:v>1.3</c:v>
                </c:pt>
                <c:pt idx="5">
                  <c:v>1.47</c:v>
                </c:pt>
                <c:pt idx="6">
                  <c:v>1.56</c:v>
                </c:pt>
                <c:pt idx="7">
                  <c:v>1.59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F-4C48-A843-34726AB1B690}"/>
            </c:ext>
          </c:extLst>
        </c:ser>
        <c:ser>
          <c:idx val="1"/>
          <c:order val="1"/>
          <c:tx>
            <c:strRef>
              <c:f>程式預測!$O$1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程式預測!$O$14:$O$21</c:f>
              <c:numCache>
                <c:formatCode>General</c:formatCode>
                <c:ptCount val="8"/>
                <c:pt idx="0">
                  <c:v>0.97</c:v>
                </c:pt>
                <c:pt idx="1">
                  <c:v>1.27</c:v>
                </c:pt>
                <c:pt idx="2">
                  <c:v>1.52</c:v>
                </c:pt>
                <c:pt idx="3">
                  <c:v>2.12</c:v>
                </c:pt>
                <c:pt idx="4">
                  <c:v>2.59</c:v>
                </c:pt>
                <c:pt idx="5">
                  <c:v>2.94</c:v>
                </c:pt>
                <c:pt idx="6">
                  <c:v>3.13</c:v>
                </c:pt>
                <c:pt idx="7">
                  <c:v>3.18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3F-4C48-A843-34726AB1B690}"/>
            </c:ext>
          </c:extLst>
        </c:ser>
        <c:ser>
          <c:idx val="2"/>
          <c:order val="2"/>
          <c:tx>
            <c:strRef>
              <c:f>程式預測!$P$1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程式預測!$P$14:$P$21</c:f>
              <c:numCache>
                <c:formatCode>General</c:formatCode>
                <c:ptCount val="8"/>
                <c:pt idx="0">
                  <c:v>1.54</c:v>
                </c:pt>
                <c:pt idx="1">
                  <c:v>1.91</c:v>
                </c:pt>
                <c:pt idx="2">
                  <c:v>2.2799999999999998</c:v>
                </c:pt>
                <c:pt idx="3">
                  <c:v>3.18</c:v>
                </c:pt>
                <c:pt idx="4">
                  <c:v>3.89</c:v>
                </c:pt>
                <c:pt idx="5">
                  <c:v>4.4000000000000004</c:v>
                </c:pt>
                <c:pt idx="6">
                  <c:v>4.6900000000000004</c:v>
                </c:pt>
                <c:pt idx="7">
                  <c:v>4.7699999999999996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3F-4C48-A843-34726AB1B690}"/>
            </c:ext>
          </c:extLst>
        </c:ser>
        <c:ser>
          <c:idx val="3"/>
          <c:order val="3"/>
          <c:tx>
            <c:strRef>
              <c:f>程式預測!$Q$1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程式預測!$Q$14:$Q$21</c:f>
              <c:numCache>
                <c:formatCode>General</c:formatCode>
                <c:ptCount val="8"/>
                <c:pt idx="0">
                  <c:v>1.93</c:v>
                </c:pt>
                <c:pt idx="1">
                  <c:v>2.5499999999999998</c:v>
                </c:pt>
                <c:pt idx="2">
                  <c:v>3.04</c:v>
                </c:pt>
                <c:pt idx="3">
                  <c:v>4.24</c:v>
                </c:pt>
                <c:pt idx="4">
                  <c:v>5.18</c:v>
                </c:pt>
                <c:pt idx="5">
                  <c:v>5.87</c:v>
                </c:pt>
                <c:pt idx="6">
                  <c:v>6.25</c:v>
                </c:pt>
                <c:pt idx="7">
                  <c:v>6.36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3F-4C48-A843-34726AB1B690}"/>
            </c:ext>
          </c:extLst>
        </c:ser>
        <c:ser>
          <c:idx val="4"/>
          <c:order val="4"/>
          <c:tx>
            <c:strRef>
              <c:f>程式預測!$R$1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程式預測!$R$14:$R$21</c:f>
              <c:numCache>
                <c:formatCode>General</c:formatCode>
                <c:ptCount val="8"/>
                <c:pt idx="0">
                  <c:v>2.42</c:v>
                </c:pt>
                <c:pt idx="1">
                  <c:v>3.18</c:v>
                </c:pt>
                <c:pt idx="2">
                  <c:v>3.8</c:v>
                </c:pt>
                <c:pt idx="3">
                  <c:v>5.3</c:v>
                </c:pt>
                <c:pt idx="4">
                  <c:v>6.48</c:v>
                </c:pt>
                <c:pt idx="5">
                  <c:v>7.34</c:v>
                </c:pt>
                <c:pt idx="6">
                  <c:v>7.82</c:v>
                </c:pt>
                <c:pt idx="7">
                  <c:v>7.94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3F-4C48-A843-34726AB1B6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程式預測!$B$1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程式預測!$B$4:$B$11</c:f>
              <c:numCache>
                <c:formatCode>General</c:formatCode>
                <c:ptCount val="8"/>
                <c:pt idx="0">
                  <c:v>0.16</c:v>
                </c:pt>
                <c:pt idx="1">
                  <c:v>0.21</c:v>
                </c:pt>
                <c:pt idx="2">
                  <c:v>0.24</c:v>
                </c:pt>
                <c:pt idx="3">
                  <c:v>0.32</c:v>
                </c:pt>
                <c:pt idx="4">
                  <c:v>0.38</c:v>
                </c:pt>
                <c:pt idx="5">
                  <c:v>0.43</c:v>
                </c:pt>
                <c:pt idx="6">
                  <c:v>0.45</c:v>
                </c:pt>
                <c:pt idx="7">
                  <c:v>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A9-415C-9229-AF33768EB820}"/>
            </c:ext>
          </c:extLst>
        </c:ser>
        <c:ser>
          <c:idx val="1"/>
          <c:order val="1"/>
          <c:tx>
            <c:strRef>
              <c:f>程式預測!$C$1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程式預測!$C$4:$C$11</c:f>
              <c:numCache>
                <c:formatCode>General</c:formatCode>
                <c:ptCount val="8"/>
                <c:pt idx="0">
                  <c:v>0.33</c:v>
                </c:pt>
                <c:pt idx="1">
                  <c:v>0.41</c:v>
                </c:pt>
                <c:pt idx="2">
                  <c:v>0.48</c:v>
                </c:pt>
                <c:pt idx="3">
                  <c:v>0.64</c:v>
                </c:pt>
                <c:pt idx="4">
                  <c:v>0.76</c:v>
                </c:pt>
                <c:pt idx="5">
                  <c:v>0.85</c:v>
                </c:pt>
                <c:pt idx="6">
                  <c:v>0.9</c:v>
                </c:pt>
                <c:pt idx="7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A9-415C-9229-AF33768EB820}"/>
            </c:ext>
          </c:extLst>
        </c:ser>
        <c:ser>
          <c:idx val="2"/>
          <c:order val="2"/>
          <c:tx>
            <c:strRef>
              <c:f>程式預測!$D$1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程式預測!$D$4:$D$11</c:f>
              <c:numCache>
                <c:formatCode>General</c:formatCode>
                <c:ptCount val="8"/>
                <c:pt idx="0">
                  <c:v>0.49</c:v>
                </c:pt>
                <c:pt idx="1">
                  <c:v>0.62</c:v>
                </c:pt>
                <c:pt idx="2">
                  <c:v>0.72</c:v>
                </c:pt>
                <c:pt idx="3">
                  <c:v>0.96</c:v>
                </c:pt>
                <c:pt idx="4">
                  <c:v>1.1399999999999999</c:v>
                </c:pt>
                <c:pt idx="5">
                  <c:v>1.28</c:v>
                </c:pt>
                <c:pt idx="6">
                  <c:v>1.35</c:v>
                </c:pt>
                <c:pt idx="7">
                  <c:v>1.38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A9-415C-9229-AF33768EB820}"/>
            </c:ext>
          </c:extLst>
        </c:ser>
        <c:ser>
          <c:idx val="3"/>
          <c:order val="3"/>
          <c:tx>
            <c:strRef>
              <c:f>程式預測!$E$1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程式預測!$E$4:$E$11</c:f>
              <c:numCache>
                <c:formatCode>General</c:formatCode>
                <c:ptCount val="8"/>
                <c:pt idx="0">
                  <c:v>0.65</c:v>
                </c:pt>
                <c:pt idx="1">
                  <c:v>0.82</c:v>
                </c:pt>
                <c:pt idx="2">
                  <c:v>0.96</c:v>
                </c:pt>
                <c:pt idx="3">
                  <c:v>1.28</c:v>
                </c:pt>
                <c:pt idx="4">
                  <c:v>1.52</c:v>
                </c:pt>
                <c:pt idx="5">
                  <c:v>1.7</c:v>
                </c:pt>
                <c:pt idx="6">
                  <c:v>1.8</c:v>
                </c:pt>
                <c:pt idx="7">
                  <c:v>1.84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A9-415C-9229-AF33768EB820}"/>
            </c:ext>
          </c:extLst>
        </c:ser>
        <c:ser>
          <c:idx val="4"/>
          <c:order val="4"/>
          <c:tx>
            <c:strRef>
              <c:f>程式預測!$F$1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程式預測!$F$4:$F$11</c:f>
              <c:numCache>
                <c:formatCode>General</c:formatCode>
                <c:ptCount val="8"/>
                <c:pt idx="0">
                  <c:v>0.82</c:v>
                </c:pt>
                <c:pt idx="1">
                  <c:v>1.03</c:v>
                </c:pt>
                <c:pt idx="2">
                  <c:v>1.2</c:v>
                </c:pt>
                <c:pt idx="3">
                  <c:v>1.6</c:v>
                </c:pt>
                <c:pt idx="4">
                  <c:v>1.9</c:v>
                </c:pt>
                <c:pt idx="5">
                  <c:v>2.13</c:v>
                </c:pt>
                <c:pt idx="6">
                  <c:v>2.25</c:v>
                </c:pt>
                <c:pt idx="7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A9-415C-9229-AF33768EB8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SPCC*1.5</a:t>
            </a:r>
            <a:endParaRPr lang="zh-TW" altLang="en-US"/>
          </a:p>
        </c:rich>
      </c:tx>
      <c:layout>
        <c:manualLayout>
          <c:xMode val="edge"/>
          <c:yMode val="edge"/>
          <c:x val="0.4244444444444444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程式預測!$H$1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程式預測!$H$4:$H$11</c:f>
              <c:numCache>
                <c:formatCode>General</c:formatCode>
                <c:ptCount val="8"/>
                <c:pt idx="0">
                  <c:v>0.3</c:v>
                </c:pt>
                <c:pt idx="1">
                  <c:v>0.38</c:v>
                </c:pt>
                <c:pt idx="2">
                  <c:v>0.44</c:v>
                </c:pt>
                <c:pt idx="3">
                  <c:v>0.57999999999999996</c:v>
                </c:pt>
                <c:pt idx="4">
                  <c:v>0.68</c:v>
                </c:pt>
                <c:pt idx="5">
                  <c:v>0.74</c:v>
                </c:pt>
                <c:pt idx="6">
                  <c:v>0.77</c:v>
                </c:pt>
                <c:pt idx="7">
                  <c:v>0.77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6-475A-9ED8-2FC938D0A355}"/>
            </c:ext>
          </c:extLst>
        </c:ser>
        <c:ser>
          <c:idx val="1"/>
          <c:order val="1"/>
          <c:tx>
            <c:strRef>
              <c:f>程式預測!$I$1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程式預測!$I$4:$I$11</c:f>
              <c:numCache>
                <c:formatCode>General</c:formatCode>
                <c:ptCount val="8"/>
                <c:pt idx="0">
                  <c:v>0.6</c:v>
                </c:pt>
                <c:pt idx="1">
                  <c:v>0.76</c:v>
                </c:pt>
                <c:pt idx="2">
                  <c:v>0.88</c:v>
                </c:pt>
                <c:pt idx="3">
                  <c:v>1.1499999999999999</c:v>
                </c:pt>
                <c:pt idx="4">
                  <c:v>1.36</c:v>
                </c:pt>
                <c:pt idx="5">
                  <c:v>1.49</c:v>
                </c:pt>
                <c:pt idx="6">
                  <c:v>1.54</c:v>
                </c:pt>
                <c:pt idx="7">
                  <c:v>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86-475A-9ED8-2FC938D0A355}"/>
            </c:ext>
          </c:extLst>
        </c:ser>
        <c:ser>
          <c:idx val="2"/>
          <c:order val="2"/>
          <c:tx>
            <c:strRef>
              <c:f>程式預測!$J$1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程式預測!$J$4:$J$11</c:f>
              <c:numCache>
                <c:formatCode>General</c:formatCode>
                <c:ptCount val="8"/>
                <c:pt idx="0">
                  <c:v>0.9</c:v>
                </c:pt>
                <c:pt idx="1">
                  <c:v>1.1299999999999999</c:v>
                </c:pt>
                <c:pt idx="2">
                  <c:v>1.32</c:v>
                </c:pt>
                <c:pt idx="3">
                  <c:v>1.73</c:v>
                </c:pt>
                <c:pt idx="4">
                  <c:v>2.0299999999999998</c:v>
                </c:pt>
                <c:pt idx="5">
                  <c:v>2.23</c:v>
                </c:pt>
                <c:pt idx="6">
                  <c:v>2.31</c:v>
                </c:pt>
                <c:pt idx="7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86-475A-9ED8-2FC938D0A355}"/>
            </c:ext>
          </c:extLst>
        </c:ser>
        <c:ser>
          <c:idx val="3"/>
          <c:order val="3"/>
          <c:tx>
            <c:strRef>
              <c:f>程式預測!$K$1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程式預測!$K$4:$K$11</c:f>
              <c:numCache>
                <c:formatCode>General</c:formatCode>
                <c:ptCount val="8"/>
                <c:pt idx="0">
                  <c:v>1.2</c:v>
                </c:pt>
                <c:pt idx="1">
                  <c:v>1.51</c:v>
                </c:pt>
                <c:pt idx="2">
                  <c:v>1.75</c:v>
                </c:pt>
                <c:pt idx="3">
                  <c:v>2.31</c:v>
                </c:pt>
                <c:pt idx="4">
                  <c:v>2.71</c:v>
                </c:pt>
                <c:pt idx="5">
                  <c:v>2.98</c:v>
                </c:pt>
                <c:pt idx="6">
                  <c:v>3.09</c:v>
                </c:pt>
                <c:pt idx="7">
                  <c:v>3.07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86-475A-9ED8-2FC938D0A355}"/>
            </c:ext>
          </c:extLst>
        </c:ser>
        <c:ser>
          <c:idx val="4"/>
          <c:order val="4"/>
          <c:tx>
            <c:strRef>
              <c:f>程式預測!$L$1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程式預測!$L$4:$L$11</c:f>
              <c:numCache>
                <c:formatCode>General</c:formatCode>
                <c:ptCount val="8"/>
                <c:pt idx="0">
                  <c:v>1.5</c:v>
                </c:pt>
                <c:pt idx="1">
                  <c:v>1.89</c:v>
                </c:pt>
                <c:pt idx="2">
                  <c:v>2.19</c:v>
                </c:pt>
                <c:pt idx="3">
                  <c:v>2.88</c:v>
                </c:pt>
                <c:pt idx="4">
                  <c:v>3.39</c:v>
                </c:pt>
                <c:pt idx="5">
                  <c:v>3.72</c:v>
                </c:pt>
                <c:pt idx="6">
                  <c:v>3.86</c:v>
                </c:pt>
                <c:pt idx="7">
                  <c:v>3.83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86-475A-9ED8-2FC938D0A35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程式預測!$N$1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程式預測!$N$4:$N$11</c:f>
              <c:numCache>
                <c:formatCode>General</c:formatCode>
                <c:ptCount val="8"/>
                <c:pt idx="0">
                  <c:v>0.43</c:v>
                </c:pt>
                <c:pt idx="1">
                  <c:v>0.54</c:v>
                </c:pt>
                <c:pt idx="2">
                  <c:v>0.63</c:v>
                </c:pt>
                <c:pt idx="3">
                  <c:v>0.84</c:v>
                </c:pt>
                <c:pt idx="4">
                  <c:v>0.99</c:v>
                </c:pt>
                <c:pt idx="5">
                  <c:v>1.0900000000000001</c:v>
                </c:pt>
                <c:pt idx="6">
                  <c:v>1.1399999999999999</c:v>
                </c:pt>
                <c:pt idx="7">
                  <c:v>1.1399999999999999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E8-4A4F-8192-263D6A870139}"/>
            </c:ext>
          </c:extLst>
        </c:ser>
        <c:ser>
          <c:idx val="1"/>
          <c:order val="1"/>
          <c:tx>
            <c:strRef>
              <c:f>程式預測!$O$1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程式預測!$O$4:$O$11</c:f>
              <c:numCache>
                <c:formatCode>General</c:formatCode>
                <c:ptCount val="8"/>
                <c:pt idx="0">
                  <c:v>0.86</c:v>
                </c:pt>
                <c:pt idx="1">
                  <c:v>1.0900000000000001</c:v>
                </c:pt>
                <c:pt idx="2">
                  <c:v>1.26</c:v>
                </c:pt>
                <c:pt idx="3">
                  <c:v>1.67</c:v>
                </c:pt>
                <c:pt idx="4">
                  <c:v>1.98</c:v>
                </c:pt>
                <c:pt idx="5">
                  <c:v>2.1800000000000002</c:v>
                </c:pt>
                <c:pt idx="6">
                  <c:v>2.2799999999999998</c:v>
                </c:pt>
                <c:pt idx="7">
                  <c:v>2.2799999999999998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8-4A4F-8192-263D6A870139}"/>
            </c:ext>
          </c:extLst>
        </c:ser>
        <c:ser>
          <c:idx val="2"/>
          <c:order val="2"/>
          <c:tx>
            <c:strRef>
              <c:f>程式預測!$P$1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程式預測!$P$4:$P$11</c:f>
              <c:numCache>
                <c:formatCode>General</c:formatCode>
                <c:ptCount val="8"/>
                <c:pt idx="0">
                  <c:v>1.29</c:v>
                </c:pt>
                <c:pt idx="1">
                  <c:v>1.63</c:v>
                </c:pt>
                <c:pt idx="2">
                  <c:v>1.89</c:v>
                </c:pt>
                <c:pt idx="3">
                  <c:v>2.5099999999999998</c:v>
                </c:pt>
                <c:pt idx="4">
                  <c:v>2.96</c:v>
                </c:pt>
                <c:pt idx="5">
                  <c:v>3.28</c:v>
                </c:pt>
                <c:pt idx="6">
                  <c:v>3.42</c:v>
                </c:pt>
                <c:pt idx="7">
                  <c:v>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E8-4A4F-8192-263D6A870139}"/>
            </c:ext>
          </c:extLst>
        </c:ser>
        <c:ser>
          <c:idx val="3"/>
          <c:order val="3"/>
          <c:tx>
            <c:strRef>
              <c:f>程式預測!$Q$1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程式預測!$Q$4:$Q$11</c:f>
              <c:numCache>
                <c:formatCode>General</c:formatCode>
                <c:ptCount val="8"/>
                <c:pt idx="0">
                  <c:v>1.72</c:v>
                </c:pt>
                <c:pt idx="1">
                  <c:v>2.17</c:v>
                </c:pt>
                <c:pt idx="2">
                  <c:v>2.52</c:v>
                </c:pt>
                <c:pt idx="3">
                  <c:v>3.34</c:v>
                </c:pt>
                <c:pt idx="4">
                  <c:v>3.95</c:v>
                </c:pt>
                <c:pt idx="5">
                  <c:v>4.37</c:v>
                </c:pt>
                <c:pt idx="6">
                  <c:v>4.5599999999999996</c:v>
                </c:pt>
                <c:pt idx="7">
                  <c:v>4.57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E8-4A4F-8192-263D6A870139}"/>
            </c:ext>
          </c:extLst>
        </c:ser>
        <c:ser>
          <c:idx val="4"/>
          <c:order val="4"/>
          <c:tx>
            <c:strRef>
              <c:f>程式預測!$R$1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程式預測!$R$4:$R$11</c:f>
              <c:numCache>
                <c:formatCode>General</c:formatCode>
                <c:ptCount val="8"/>
                <c:pt idx="0">
                  <c:v>2.16</c:v>
                </c:pt>
                <c:pt idx="1">
                  <c:v>2.72</c:v>
                </c:pt>
                <c:pt idx="2">
                  <c:v>3.15</c:v>
                </c:pt>
                <c:pt idx="3">
                  <c:v>4.18</c:v>
                </c:pt>
                <c:pt idx="4">
                  <c:v>4.9400000000000004</c:v>
                </c:pt>
                <c:pt idx="5">
                  <c:v>5.46</c:v>
                </c:pt>
                <c:pt idx="6">
                  <c:v>5.71</c:v>
                </c:pt>
                <c:pt idx="7">
                  <c:v>5.71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E8-4A4F-8192-263D6A8701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程式試驗!$A$1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程式試驗!$A$4:$A$8</c:f>
              <c:numCache>
                <c:formatCode>General</c:formatCode>
                <c:ptCount val="5"/>
                <c:pt idx="0">
                  <c:v>3.6</c:v>
                </c:pt>
                <c:pt idx="1">
                  <c:v>19</c:v>
                </c:pt>
                <c:pt idx="2">
                  <c:v>35.6</c:v>
                </c:pt>
                <c:pt idx="3">
                  <c:v>58</c:v>
                </c:pt>
                <c:pt idx="4">
                  <c:v>93.5</c:v>
                </c:pt>
              </c:numCache>
            </c:numRef>
          </c:xVal>
          <c:yVal>
            <c:numRef>
              <c:f>程式試驗!$B$4:$B$8</c:f>
              <c:numCache>
                <c:formatCode>General</c:formatCode>
                <c:ptCount val="5"/>
                <c:pt idx="0">
                  <c:v>7.0000000000000007E-2</c:v>
                </c:pt>
                <c:pt idx="1">
                  <c:v>0.21</c:v>
                </c:pt>
                <c:pt idx="2">
                  <c:v>0.24</c:v>
                </c:pt>
                <c:pt idx="3">
                  <c:v>0.32</c:v>
                </c:pt>
                <c:pt idx="4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E-46AA-80CF-AB48063DF642}"/>
            </c:ext>
          </c:extLst>
        </c:ser>
        <c:ser>
          <c:idx val="1"/>
          <c:order val="1"/>
          <c:tx>
            <c:strRef>
              <c:f>程式試驗!$C$1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程式試驗!$C$4:$C$8</c:f>
              <c:numCache>
                <c:formatCode>General</c:formatCode>
                <c:ptCount val="5"/>
                <c:pt idx="0">
                  <c:v>8</c:v>
                </c:pt>
                <c:pt idx="1">
                  <c:v>12.8</c:v>
                </c:pt>
                <c:pt idx="2">
                  <c:v>17.5</c:v>
                </c:pt>
                <c:pt idx="3">
                  <c:v>36.9</c:v>
                </c:pt>
                <c:pt idx="4">
                  <c:v>92</c:v>
                </c:pt>
              </c:numCache>
            </c:numRef>
          </c:xVal>
          <c:yVal>
            <c:numRef>
              <c:f>程式試驗!$D$4:$D$8</c:f>
              <c:numCache>
                <c:formatCode>General</c:formatCode>
                <c:ptCount val="5"/>
                <c:pt idx="0">
                  <c:v>0.33</c:v>
                </c:pt>
                <c:pt idx="1">
                  <c:v>0.41</c:v>
                </c:pt>
                <c:pt idx="2">
                  <c:v>0.48</c:v>
                </c:pt>
                <c:pt idx="3">
                  <c:v>0.64</c:v>
                </c:pt>
                <c:pt idx="4">
                  <c:v>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4E-46AA-80CF-AB48063DF642}"/>
            </c:ext>
          </c:extLst>
        </c:ser>
        <c:ser>
          <c:idx val="2"/>
          <c:order val="2"/>
          <c:tx>
            <c:strRef>
              <c:f>程式試驗!$E$1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程式試驗!$E$4:$E$10</c:f>
              <c:numCache>
                <c:formatCode>General</c:formatCode>
                <c:ptCount val="7"/>
                <c:pt idx="0">
                  <c:v>8</c:v>
                </c:pt>
                <c:pt idx="1">
                  <c:v>12.5</c:v>
                </c:pt>
                <c:pt idx="2">
                  <c:v>17.399999999999999</c:v>
                </c:pt>
                <c:pt idx="3">
                  <c:v>32.1</c:v>
                </c:pt>
                <c:pt idx="4">
                  <c:v>46.8</c:v>
                </c:pt>
                <c:pt idx="5">
                  <c:v>72.7</c:v>
                </c:pt>
                <c:pt idx="6">
                  <c:v>91.8</c:v>
                </c:pt>
              </c:numCache>
            </c:numRef>
          </c:xVal>
          <c:yVal>
            <c:numRef>
              <c:f>程式試驗!$F$4:$F$10</c:f>
              <c:numCache>
                <c:formatCode>General</c:formatCode>
                <c:ptCount val="7"/>
                <c:pt idx="0">
                  <c:v>0.64</c:v>
                </c:pt>
                <c:pt idx="1">
                  <c:v>0.73</c:v>
                </c:pt>
                <c:pt idx="2">
                  <c:v>0.75</c:v>
                </c:pt>
                <c:pt idx="3">
                  <c:v>0.96</c:v>
                </c:pt>
                <c:pt idx="4">
                  <c:v>1.1399999999999999</c:v>
                </c:pt>
                <c:pt idx="5">
                  <c:v>1.28</c:v>
                </c:pt>
                <c:pt idx="6">
                  <c:v>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4E-46AA-80CF-AB48063DF642}"/>
            </c:ext>
          </c:extLst>
        </c:ser>
        <c:ser>
          <c:idx val="3"/>
          <c:order val="3"/>
          <c:tx>
            <c:strRef>
              <c:f>程式試驗!$G$1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程式試驗!$G$4:$G$10</c:f>
              <c:numCache>
                <c:formatCode>General</c:formatCode>
                <c:ptCount val="7"/>
                <c:pt idx="0">
                  <c:v>7.9</c:v>
                </c:pt>
                <c:pt idx="1">
                  <c:v>12.5</c:v>
                </c:pt>
                <c:pt idx="2">
                  <c:v>17.100000000000001</c:v>
                </c:pt>
                <c:pt idx="3">
                  <c:v>31.9</c:v>
                </c:pt>
                <c:pt idx="4">
                  <c:v>46.9</c:v>
                </c:pt>
                <c:pt idx="5">
                  <c:v>68.5</c:v>
                </c:pt>
                <c:pt idx="6">
                  <c:v>92.1</c:v>
                </c:pt>
              </c:numCache>
            </c:numRef>
          </c:xVal>
          <c:yVal>
            <c:numRef>
              <c:f>程式試驗!$H$4:$H$10</c:f>
              <c:numCache>
                <c:formatCode>General</c:formatCode>
                <c:ptCount val="7"/>
                <c:pt idx="0">
                  <c:v>0.9</c:v>
                </c:pt>
                <c:pt idx="1">
                  <c:v>1.05</c:v>
                </c:pt>
                <c:pt idx="2">
                  <c:v>1.1399999999999999</c:v>
                </c:pt>
                <c:pt idx="3">
                  <c:v>1.35</c:v>
                </c:pt>
                <c:pt idx="4">
                  <c:v>1.52</c:v>
                </c:pt>
                <c:pt idx="5">
                  <c:v>1.7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4E-46AA-80CF-AB48063DF642}"/>
            </c:ext>
          </c:extLst>
        </c:ser>
        <c:ser>
          <c:idx val="4"/>
          <c:order val="4"/>
          <c:tx>
            <c:strRef>
              <c:f>程式試驗!$I$1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程式試驗!$I$4:$I$10</c:f>
              <c:numCache>
                <c:formatCode>General</c:formatCode>
                <c:ptCount val="7"/>
                <c:pt idx="0">
                  <c:v>7.8</c:v>
                </c:pt>
                <c:pt idx="1">
                  <c:v>12.3</c:v>
                </c:pt>
                <c:pt idx="2">
                  <c:v>17.100000000000001</c:v>
                </c:pt>
                <c:pt idx="3">
                  <c:v>31.7</c:v>
                </c:pt>
                <c:pt idx="4">
                  <c:v>46.6</c:v>
                </c:pt>
                <c:pt idx="5">
                  <c:v>62.1</c:v>
                </c:pt>
                <c:pt idx="6">
                  <c:v>93.8</c:v>
                </c:pt>
              </c:numCache>
            </c:numRef>
          </c:xVal>
          <c:yVal>
            <c:numRef>
              <c:f>程式試驗!$J$4:$J$10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1.35</c:v>
                </c:pt>
                <c:pt idx="2">
                  <c:v>1.42</c:v>
                </c:pt>
                <c:pt idx="3">
                  <c:v>1.69</c:v>
                </c:pt>
                <c:pt idx="4">
                  <c:v>1.9</c:v>
                </c:pt>
                <c:pt idx="5">
                  <c:v>2.13</c:v>
                </c:pt>
                <c:pt idx="6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4E-46AA-80CF-AB48063DF64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程式試驗!$U$1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程式試驗!$U$4:$U$11</c:f>
              <c:numCache>
                <c:formatCode>General</c:formatCode>
                <c:ptCount val="8"/>
                <c:pt idx="0">
                  <c:v>5.5</c:v>
                </c:pt>
                <c:pt idx="1">
                  <c:v>7.5</c:v>
                </c:pt>
                <c:pt idx="2">
                  <c:v>14.5</c:v>
                </c:pt>
                <c:pt idx="3">
                  <c:v>24</c:v>
                </c:pt>
                <c:pt idx="4">
                  <c:v>44.5</c:v>
                </c:pt>
                <c:pt idx="5">
                  <c:v>66.5</c:v>
                </c:pt>
                <c:pt idx="6">
                  <c:v>85</c:v>
                </c:pt>
                <c:pt idx="7">
                  <c:v>90.3</c:v>
                </c:pt>
              </c:numCache>
            </c:numRef>
          </c:xVal>
          <c:yVal>
            <c:numRef>
              <c:f>程式試驗!$V$4:$V$11</c:f>
              <c:numCache>
                <c:formatCode>General</c:formatCode>
                <c:ptCount val="8"/>
                <c:pt idx="0">
                  <c:v>0.37</c:v>
                </c:pt>
                <c:pt idx="1">
                  <c:v>0.54</c:v>
                </c:pt>
                <c:pt idx="2">
                  <c:v>0.64</c:v>
                </c:pt>
                <c:pt idx="3">
                  <c:v>0.84</c:v>
                </c:pt>
                <c:pt idx="4">
                  <c:v>1.01</c:v>
                </c:pt>
                <c:pt idx="5">
                  <c:v>1.0900000000000001</c:v>
                </c:pt>
                <c:pt idx="6">
                  <c:v>1.1399999999999999</c:v>
                </c:pt>
                <c:pt idx="7">
                  <c:v>1.24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7-484B-85B0-ED147C0DE9C6}"/>
            </c:ext>
          </c:extLst>
        </c:ser>
        <c:ser>
          <c:idx val="1"/>
          <c:order val="1"/>
          <c:tx>
            <c:strRef>
              <c:f>程式試驗!$W$1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程式試驗!$W$4:$W$11</c:f>
              <c:numCache>
                <c:formatCode>General</c:formatCode>
                <c:ptCount val="8"/>
                <c:pt idx="0">
                  <c:v>4.8</c:v>
                </c:pt>
                <c:pt idx="1">
                  <c:v>9</c:v>
                </c:pt>
                <c:pt idx="2">
                  <c:v>10.5</c:v>
                </c:pt>
                <c:pt idx="3">
                  <c:v>27.5</c:v>
                </c:pt>
                <c:pt idx="4">
                  <c:v>46.8</c:v>
                </c:pt>
                <c:pt idx="5">
                  <c:v>64.2</c:v>
                </c:pt>
                <c:pt idx="6">
                  <c:v>89.5</c:v>
                </c:pt>
                <c:pt idx="7">
                  <c:v>90.1</c:v>
                </c:pt>
              </c:numCache>
            </c:numRef>
          </c:xVal>
          <c:yVal>
            <c:numRef>
              <c:f>程式試驗!$X$4:$X$11</c:f>
              <c:numCache>
                <c:formatCode>General</c:formatCode>
                <c:ptCount val="8"/>
                <c:pt idx="0">
                  <c:v>1.01</c:v>
                </c:pt>
                <c:pt idx="1">
                  <c:v>1.0900000000000001</c:v>
                </c:pt>
                <c:pt idx="2">
                  <c:v>1.26</c:v>
                </c:pt>
                <c:pt idx="3">
                  <c:v>1.69</c:v>
                </c:pt>
                <c:pt idx="4">
                  <c:v>2.02</c:v>
                </c:pt>
                <c:pt idx="5">
                  <c:v>2.17</c:v>
                </c:pt>
                <c:pt idx="6">
                  <c:v>2.25</c:v>
                </c:pt>
                <c:pt idx="7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E7-484B-85B0-ED147C0DE9C6}"/>
            </c:ext>
          </c:extLst>
        </c:ser>
        <c:ser>
          <c:idx val="2"/>
          <c:order val="2"/>
          <c:tx>
            <c:strRef>
              <c:f>程式試驗!$Y$1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程式試驗!$Y$4:$Y$10</c:f>
              <c:numCache>
                <c:formatCode>General</c:formatCode>
                <c:ptCount val="7"/>
                <c:pt idx="0">
                  <c:v>3.7</c:v>
                </c:pt>
                <c:pt idx="1">
                  <c:v>10.9</c:v>
                </c:pt>
                <c:pt idx="2">
                  <c:v>12.8</c:v>
                </c:pt>
                <c:pt idx="3">
                  <c:v>26.9</c:v>
                </c:pt>
                <c:pt idx="4">
                  <c:v>46</c:v>
                </c:pt>
                <c:pt idx="5">
                  <c:v>73</c:v>
                </c:pt>
                <c:pt idx="6">
                  <c:v>90.4</c:v>
                </c:pt>
              </c:numCache>
            </c:numRef>
          </c:xVal>
          <c:yVal>
            <c:numRef>
              <c:f>程式試驗!$Z$4:$Z$10</c:f>
              <c:numCache>
                <c:formatCode>General</c:formatCode>
                <c:ptCount val="7"/>
                <c:pt idx="0">
                  <c:v>1.41</c:v>
                </c:pt>
                <c:pt idx="1">
                  <c:v>1.93</c:v>
                </c:pt>
                <c:pt idx="2">
                  <c:v>2.1</c:v>
                </c:pt>
                <c:pt idx="3">
                  <c:v>2.52</c:v>
                </c:pt>
                <c:pt idx="4">
                  <c:v>3</c:v>
                </c:pt>
                <c:pt idx="5">
                  <c:v>3.3</c:v>
                </c:pt>
                <c:pt idx="6">
                  <c:v>3.47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E7-484B-85B0-ED147C0DE9C6}"/>
            </c:ext>
          </c:extLst>
        </c:ser>
        <c:ser>
          <c:idx val="3"/>
          <c:order val="3"/>
          <c:tx>
            <c:strRef>
              <c:f>程式試驗!$AA$1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程式試驗!$AA$4:$AA$10</c:f>
              <c:numCache>
                <c:formatCode>General</c:formatCode>
                <c:ptCount val="7"/>
                <c:pt idx="0">
                  <c:v>6.9</c:v>
                </c:pt>
                <c:pt idx="1">
                  <c:v>11.7</c:v>
                </c:pt>
                <c:pt idx="2">
                  <c:v>13.2</c:v>
                </c:pt>
                <c:pt idx="3">
                  <c:v>31</c:v>
                </c:pt>
                <c:pt idx="4">
                  <c:v>43.6</c:v>
                </c:pt>
                <c:pt idx="5">
                  <c:v>63.6</c:v>
                </c:pt>
                <c:pt idx="6">
                  <c:v>91</c:v>
                </c:pt>
              </c:numCache>
            </c:numRef>
          </c:xVal>
          <c:yVal>
            <c:numRef>
              <c:f>程式試驗!$AB$4:$AB$10</c:f>
              <c:numCache>
                <c:formatCode>General</c:formatCode>
                <c:ptCount val="7"/>
                <c:pt idx="0">
                  <c:v>2.02</c:v>
                </c:pt>
                <c:pt idx="1">
                  <c:v>2.19</c:v>
                </c:pt>
                <c:pt idx="2">
                  <c:v>2.66</c:v>
                </c:pt>
                <c:pt idx="3">
                  <c:v>3.34</c:v>
                </c:pt>
                <c:pt idx="4">
                  <c:v>3.97</c:v>
                </c:pt>
                <c:pt idx="5">
                  <c:v>4.3499999999999996</c:v>
                </c:pt>
                <c:pt idx="6">
                  <c:v>4.71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E7-484B-85B0-ED147C0DE9C6}"/>
            </c:ext>
          </c:extLst>
        </c:ser>
        <c:ser>
          <c:idx val="4"/>
          <c:order val="4"/>
          <c:tx>
            <c:strRef>
              <c:f>程式試驗!$AC$1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程式試驗!$AC$4:$AC$10</c:f>
              <c:numCache>
                <c:formatCode>General</c:formatCode>
                <c:ptCount val="7"/>
                <c:pt idx="0">
                  <c:v>7.3</c:v>
                </c:pt>
                <c:pt idx="1">
                  <c:v>10.9</c:v>
                </c:pt>
                <c:pt idx="2">
                  <c:v>12.1</c:v>
                </c:pt>
                <c:pt idx="3">
                  <c:v>27.5</c:v>
                </c:pt>
                <c:pt idx="4">
                  <c:v>46.1</c:v>
                </c:pt>
                <c:pt idx="5">
                  <c:v>69.400000000000006</c:v>
                </c:pt>
                <c:pt idx="6">
                  <c:v>90</c:v>
                </c:pt>
              </c:numCache>
            </c:numRef>
          </c:xVal>
          <c:yVal>
            <c:numRef>
              <c:f>程式試驗!$AD$4:$AD$10</c:f>
              <c:numCache>
                <c:formatCode>General</c:formatCode>
                <c:ptCount val="7"/>
                <c:pt idx="0">
                  <c:v>2.25</c:v>
                </c:pt>
                <c:pt idx="1">
                  <c:v>3.1</c:v>
                </c:pt>
                <c:pt idx="2">
                  <c:v>3.2</c:v>
                </c:pt>
                <c:pt idx="3">
                  <c:v>4.2</c:v>
                </c:pt>
                <c:pt idx="4">
                  <c:v>4.95</c:v>
                </c:pt>
                <c:pt idx="5">
                  <c:v>5.46</c:v>
                </c:pt>
                <c:pt idx="6">
                  <c:v>5.85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E7-484B-85B0-ED147C0DE9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*1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程式試驗!$A$1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程式試驗!$A$14:$A$21</c:f>
              <c:numCache>
                <c:formatCode>General</c:formatCode>
                <c:ptCount val="8"/>
                <c:pt idx="0">
                  <c:v>8.1</c:v>
                </c:pt>
                <c:pt idx="1">
                  <c:v>13</c:v>
                </c:pt>
                <c:pt idx="2">
                  <c:v>17.7</c:v>
                </c:pt>
                <c:pt idx="3">
                  <c:v>32.6</c:v>
                </c:pt>
                <c:pt idx="4">
                  <c:v>47.5</c:v>
                </c:pt>
                <c:pt idx="5">
                  <c:v>62.5</c:v>
                </c:pt>
                <c:pt idx="6">
                  <c:v>81.5</c:v>
                </c:pt>
                <c:pt idx="7">
                  <c:v>93.2</c:v>
                </c:pt>
              </c:numCache>
            </c:numRef>
          </c:xVal>
          <c:yVal>
            <c:numRef>
              <c:f>程式試驗!$B$14:$B$21</c:f>
              <c:numCache>
                <c:formatCode>General</c:formatCode>
                <c:ptCount val="8"/>
                <c:pt idx="0">
                  <c:v>0.22</c:v>
                </c:pt>
                <c:pt idx="1">
                  <c:v>0.24</c:v>
                </c:pt>
                <c:pt idx="2">
                  <c:v>0.3</c:v>
                </c:pt>
                <c:pt idx="3">
                  <c:v>0.41</c:v>
                </c:pt>
                <c:pt idx="4">
                  <c:v>0.49</c:v>
                </c:pt>
                <c:pt idx="5">
                  <c:v>0.54</c:v>
                </c:pt>
                <c:pt idx="6">
                  <c:v>0.69</c:v>
                </c:pt>
                <c:pt idx="7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E-4C6B-A805-C54D26FD4401}"/>
            </c:ext>
          </c:extLst>
        </c:ser>
        <c:ser>
          <c:idx val="1"/>
          <c:order val="1"/>
          <c:tx>
            <c:strRef>
              <c:f>程式試驗!$C$1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程式試驗!$C$14:$C$21</c:f>
              <c:numCache>
                <c:formatCode>General</c:formatCode>
                <c:ptCount val="8"/>
                <c:pt idx="0">
                  <c:v>7.5</c:v>
                </c:pt>
                <c:pt idx="1">
                  <c:v>12.1</c:v>
                </c:pt>
                <c:pt idx="2">
                  <c:v>17.100000000000001</c:v>
                </c:pt>
                <c:pt idx="3">
                  <c:v>31.9</c:v>
                </c:pt>
                <c:pt idx="4">
                  <c:v>47.1</c:v>
                </c:pt>
                <c:pt idx="5">
                  <c:v>62.2</c:v>
                </c:pt>
                <c:pt idx="6">
                  <c:v>77.5</c:v>
                </c:pt>
                <c:pt idx="7">
                  <c:v>92.2</c:v>
                </c:pt>
              </c:numCache>
            </c:numRef>
          </c:xVal>
          <c:yVal>
            <c:numRef>
              <c:f>程式試驗!$D$14:$D$21</c:f>
              <c:numCache>
                <c:formatCode>General</c:formatCode>
                <c:ptCount val="8"/>
                <c:pt idx="0">
                  <c:v>0.54</c:v>
                </c:pt>
                <c:pt idx="1">
                  <c:v>0.62</c:v>
                </c:pt>
                <c:pt idx="2">
                  <c:v>0.67</c:v>
                </c:pt>
                <c:pt idx="3">
                  <c:v>0.88</c:v>
                </c:pt>
                <c:pt idx="4">
                  <c:v>1.05</c:v>
                </c:pt>
                <c:pt idx="5">
                  <c:v>1.18</c:v>
                </c:pt>
                <c:pt idx="6">
                  <c:v>1.24</c:v>
                </c:pt>
                <c:pt idx="7">
                  <c:v>1.97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7E-4C6B-A805-C54D26FD4401}"/>
            </c:ext>
          </c:extLst>
        </c:ser>
        <c:ser>
          <c:idx val="2"/>
          <c:order val="2"/>
          <c:tx>
            <c:strRef>
              <c:f>程式試驗!$E$1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程式試驗!$E$14:$E$21</c:f>
              <c:numCache>
                <c:formatCode>General</c:formatCode>
                <c:ptCount val="8"/>
                <c:pt idx="0">
                  <c:v>7.4</c:v>
                </c:pt>
                <c:pt idx="1">
                  <c:v>12</c:v>
                </c:pt>
                <c:pt idx="2">
                  <c:v>17</c:v>
                </c:pt>
                <c:pt idx="3">
                  <c:v>31.5</c:v>
                </c:pt>
                <c:pt idx="4">
                  <c:v>46.4</c:v>
                </c:pt>
                <c:pt idx="5">
                  <c:v>62</c:v>
                </c:pt>
                <c:pt idx="6">
                  <c:v>77.900000000000006</c:v>
                </c:pt>
                <c:pt idx="7">
                  <c:v>92.1</c:v>
                </c:pt>
              </c:numCache>
            </c:numRef>
          </c:xVal>
          <c:yVal>
            <c:numRef>
              <c:f>程式試驗!$F$14:$F$21</c:f>
              <c:numCache>
                <c:formatCode>General</c:formatCode>
                <c:ptCount val="8"/>
                <c:pt idx="0">
                  <c:v>0.88</c:v>
                </c:pt>
                <c:pt idx="1">
                  <c:v>0.97</c:v>
                </c:pt>
                <c:pt idx="2">
                  <c:v>1.07</c:v>
                </c:pt>
                <c:pt idx="3">
                  <c:v>1.35</c:v>
                </c:pt>
                <c:pt idx="4">
                  <c:v>1.63</c:v>
                </c:pt>
                <c:pt idx="5">
                  <c:v>1.8</c:v>
                </c:pt>
                <c:pt idx="6">
                  <c:v>1.87</c:v>
                </c:pt>
                <c:pt idx="7">
                  <c:v>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7E-4C6B-A805-C54D26FD4401}"/>
            </c:ext>
          </c:extLst>
        </c:ser>
        <c:ser>
          <c:idx val="3"/>
          <c:order val="3"/>
          <c:tx>
            <c:strRef>
              <c:f>程式試驗!$G$1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程式試驗!$G$14:$G$21</c:f>
              <c:numCache>
                <c:formatCode>General</c:formatCode>
                <c:ptCount val="8"/>
                <c:pt idx="0">
                  <c:v>7.1</c:v>
                </c:pt>
                <c:pt idx="1">
                  <c:v>12</c:v>
                </c:pt>
                <c:pt idx="2">
                  <c:v>16.8</c:v>
                </c:pt>
                <c:pt idx="3">
                  <c:v>21.8</c:v>
                </c:pt>
                <c:pt idx="4">
                  <c:v>46.8</c:v>
                </c:pt>
                <c:pt idx="5">
                  <c:v>61.8</c:v>
                </c:pt>
                <c:pt idx="6">
                  <c:v>77.900000000000006</c:v>
                </c:pt>
                <c:pt idx="7">
                  <c:v>92.1</c:v>
                </c:pt>
              </c:numCache>
            </c:numRef>
          </c:xVal>
          <c:yVal>
            <c:numRef>
              <c:f>程式試驗!$H$14:$H$21</c:f>
              <c:numCache>
                <c:formatCode>General</c:formatCode>
                <c:ptCount val="8"/>
                <c:pt idx="0">
                  <c:v>1.86</c:v>
                </c:pt>
                <c:pt idx="1">
                  <c:v>1.31</c:v>
                </c:pt>
                <c:pt idx="2">
                  <c:v>1.46</c:v>
                </c:pt>
                <c:pt idx="3">
                  <c:v>1.82</c:v>
                </c:pt>
                <c:pt idx="4">
                  <c:v>2.17</c:v>
                </c:pt>
                <c:pt idx="5">
                  <c:v>2.42</c:v>
                </c:pt>
                <c:pt idx="6">
                  <c:v>2.5099999999999998</c:v>
                </c:pt>
                <c:pt idx="7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7E-4C6B-A805-C54D26FD4401}"/>
            </c:ext>
          </c:extLst>
        </c:ser>
        <c:ser>
          <c:idx val="4"/>
          <c:order val="4"/>
          <c:tx>
            <c:strRef>
              <c:f>程式試驗!$I$1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程式試驗!$I$14:$I$21</c:f>
              <c:numCache>
                <c:formatCode>General</c:formatCode>
                <c:ptCount val="8"/>
                <c:pt idx="0">
                  <c:v>7</c:v>
                </c:pt>
                <c:pt idx="1">
                  <c:v>12</c:v>
                </c:pt>
                <c:pt idx="2">
                  <c:v>16.5</c:v>
                </c:pt>
                <c:pt idx="3">
                  <c:v>31.2</c:v>
                </c:pt>
                <c:pt idx="4">
                  <c:v>46.1</c:v>
                </c:pt>
                <c:pt idx="5">
                  <c:v>61.5</c:v>
                </c:pt>
                <c:pt idx="6">
                  <c:v>77</c:v>
                </c:pt>
                <c:pt idx="7">
                  <c:v>91.3</c:v>
                </c:pt>
              </c:numCache>
            </c:numRef>
          </c:xVal>
          <c:yVal>
            <c:numRef>
              <c:f>程式試驗!$J$14:$J$21</c:f>
              <c:numCache>
                <c:formatCode>General</c:formatCode>
                <c:ptCount val="8"/>
                <c:pt idx="0">
                  <c:v>1.48</c:v>
                </c:pt>
                <c:pt idx="1">
                  <c:v>1.67</c:v>
                </c:pt>
                <c:pt idx="2">
                  <c:v>1.84</c:v>
                </c:pt>
                <c:pt idx="3">
                  <c:v>2.2999999999999998</c:v>
                </c:pt>
                <c:pt idx="4">
                  <c:v>2.77</c:v>
                </c:pt>
                <c:pt idx="5">
                  <c:v>3.02</c:v>
                </c:pt>
                <c:pt idx="6">
                  <c:v>3.17</c:v>
                </c:pt>
                <c:pt idx="7">
                  <c:v>4.67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7E-4C6B-A805-C54D26FD44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*1.5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程式試驗!$K$1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程式試驗!$K$14:$K$21</c:f>
              <c:numCache>
                <c:formatCode>General</c:formatCode>
                <c:ptCount val="8"/>
                <c:pt idx="0">
                  <c:v>6.7</c:v>
                </c:pt>
                <c:pt idx="1">
                  <c:v>8.6</c:v>
                </c:pt>
                <c:pt idx="2">
                  <c:v>11.2</c:v>
                </c:pt>
                <c:pt idx="3">
                  <c:v>21.2</c:v>
                </c:pt>
                <c:pt idx="4">
                  <c:v>33.5</c:v>
                </c:pt>
                <c:pt idx="5">
                  <c:v>43.1</c:v>
                </c:pt>
                <c:pt idx="6">
                  <c:v>48.4</c:v>
                </c:pt>
                <c:pt idx="7">
                  <c:v>55.8</c:v>
                </c:pt>
              </c:numCache>
            </c:numRef>
          </c:xVal>
          <c:yVal>
            <c:numRef>
              <c:f>程式試驗!$L$14:$L$21</c:f>
              <c:numCache>
                <c:formatCode>General</c:formatCode>
                <c:ptCount val="8"/>
                <c:pt idx="0">
                  <c:v>0.39</c:v>
                </c:pt>
                <c:pt idx="1">
                  <c:v>0.52</c:v>
                </c:pt>
                <c:pt idx="2">
                  <c:v>0.57999999999999996</c:v>
                </c:pt>
                <c:pt idx="3">
                  <c:v>0.75</c:v>
                </c:pt>
                <c:pt idx="4">
                  <c:v>0.9</c:v>
                </c:pt>
                <c:pt idx="5">
                  <c:v>0.99</c:v>
                </c:pt>
                <c:pt idx="6">
                  <c:v>1.05</c:v>
                </c:pt>
                <c:pt idx="7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AF-46F7-9F6A-637DEF74185D}"/>
            </c:ext>
          </c:extLst>
        </c:ser>
        <c:ser>
          <c:idx val="1"/>
          <c:order val="1"/>
          <c:tx>
            <c:strRef>
              <c:f>程式試驗!$M$1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程式試驗!$M$14:$M$21</c:f>
              <c:numCache>
                <c:formatCode>General</c:formatCode>
                <c:ptCount val="8"/>
                <c:pt idx="0">
                  <c:v>6</c:v>
                </c:pt>
                <c:pt idx="1">
                  <c:v>7.1</c:v>
                </c:pt>
                <c:pt idx="2">
                  <c:v>8.9</c:v>
                </c:pt>
                <c:pt idx="3">
                  <c:v>16.899999999999999</c:v>
                </c:pt>
                <c:pt idx="4">
                  <c:v>28.7</c:v>
                </c:pt>
                <c:pt idx="5">
                  <c:v>41.1</c:v>
                </c:pt>
                <c:pt idx="6">
                  <c:v>48.1</c:v>
                </c:pt>
                <c:pt idx="7">
                  <c:v>55.5</c:v>
                </c:pt>
              </c:numCache>
            </c:numRef>
          </c:xVal>
          <c:yVal>
            <c:numRef>
              <c:f>程式試驗!$N$14:$N$21</c:f>
              <c:numCache>
                <c:formatCode>General</c:formatCode>
                <c:ptCount val="8"/>
                <c:pt idx="0">
                  <c:v>0.94</c:v>
                </c:pt>
                <c:pt idx="1">
                  <c:v>1.07</c:v>
                </c:pt>
                <c:pt idx="2">
                  <c:v>1.1200000000000001</c:v>
                </c:pt>
                <c:pt idx="3">
                  <c:v>1.48</c:v>
                </c:pt>
                <c:pt idx="4">
                  <c:v>1.8</c:v>
                </c:pt>
                <c:pt idx="5">
                  <c:v>2.02</c:v>
                </c:pt>
                <c:pt idx="6">
                  <c:v>2.14</c:v>
                </c:pt>
                <c:pt idx="7">
                  <c:v>2.21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AF-46F7-9F6A-637DEF74185D}"/>
            </c:ext>
          </c:extLst>
        </c:ser>
        <c:ser>
          <c:idx val="2"/>
          <c:order val="2"/>
          <c:tx>
            <c:strRef>
              <c:f>程式試驗!$O$1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程式試驗!$O$14:$O$21</c:f>
              <c:numCache>
                <c:formatCode>General</c:formatCode>
                <c:ptCount val="8"/>
                <c:pt idx="0">
                  <c:v>5.8</c:v>
                </c:pt>
                <c:pt idx="1">
                  <c:v>5.9</c:v>
                </c:pt>
                <c:pt idx="2">
                  <c:v>9.5</c:v>
                </c:pt>
                <c:pt idx="3">
                  <c:v>18</c:v>
                </c:pt>
                <c:pt idx="4">
                  <c:v>31.3</c:v>
                </c:pt>
                <c:pt idx="5">
                  <c:v>39.5</c:v>
                </c:pt>
                <c:pt idx="6">
                  <c:v>46.1</c:v>
                </c:pt>
                <c:pt idx="7">
                  <c:v>50</c:v>
                </c:pt>
              </c:numCache>
            </c:numRef>
          </c:xVal>
          <c:yVal>
            <c:numRef>
              <c:f>程式試驗!$P$14:$P$21</c:f>
              <c:numCache>
                <c:formatCode>General</c:formatCode>
                <c:ptCount val="8"/>
                <c:pt idx="0">
                  <c:v>1.56</c:v>
                </c:pt>
                <c:pt idx="1">
                  <c:v>1.48</c:v>
                </c:pt>
                <c:pt idx="2">
                  <c:v>1.82</c:v>
                </c:pt>
                <c:pt idx="3">
                  <c:v>2.27</c:v>
                </c:pt>
                <c:pt idx="4">
                  <c:v>2.77</c:v>
                </c:pt>
                <c:pt idx="5">
                  <c:v>3</c:v>
                </c:pt>
                <c:pt idx="6">
                  <c:v>3.28</c:v>
                </c:pt>
                <c:pt idx="7">
                  <c:v>3.35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AF-46F7-9F6A-637DEF74185D}"/>
            </c:ext>
          </c:extLst>
        </c:ser>
        <c:ser>
          <c:idx val="3"/>
          <c:order val="3"/>
          <c:tx>
            <c:strRef>
              <c:f>程式試驗!$Q$1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程式試驗!$Q$14:$Q$21</c:f>
              <c:numCache>
                <c:formatCode>General</c:formatCode>
                <c:ptCount val="8"/>
                <c:pt idx="0">
                  <c:v>5.8</c:v>
                </c:pt>
                <c:pt idx="1">
                  <c:v>7.1</c:v>
                </c:pt>
                <c:pt idx="2">
                  <c:v>8.1999999999999993</c:v>
                </c:pt>
                <c:pt idx="3">
                  <c:v>13.5</c:v>
                </c:pt>
                <c:pt idx="4">
                  <c:v>27.1</c:v>
                </c:pt>
                <c:pt idx="5">
                  <c:v>41.7</c:v>
                </c:pt>
                <c:pt idx="6">
                  <c:v>56.1</c:v>
                </c:pt>
                <c:pt idx="7">
                  <c:v>64.5</c:v>
                </c:pt>
              </c:numCache>
            </c:numRef>
          </c:xVal>
          <c:yVal>
            <c:numRef>
              <c:f>程式試驗!$R$14:$R$21</c:f>
              <c:numCache>
                <c:formatCode>General</c:formatCode>
                <c:ptCount val="8"/>
                <c:pt idx="0">
                  <c:v>2.14</c:v>
                </c:pt>
                <c:pt idx="1">
                  <c:v>2.42</c:v>
                </c:pt>
                <c:pt idx="2">
                  <c:v>2.4500000000000002</c:v>
                </c:pt>
                <c:pt idx="3">
                  <c:v>2.92</c:v>
                </c:pt>
                <c:pt idx="4">
                  <c:v>3.63</c:v>
                </c:pt>
                <c:pt idx="5">
                  <c:v>4.12</c:v>
                </c:pt>
                <c:pt idx="6">
                  <c:v>4.37</c:v>
                </c:pt>
                <c:pt idx="7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AF-46F7-9F6A-637DEF74185D}"/>
            </c:ext>
          </c:extLst>
        </c:ser>
        <c:ser>
          <c:idx val="4"/>
          <c:order val="4"/>
          <c:tx>
            <c:strRef>
              <c:f>程式試驗!$S$1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程式試驗!$S$14:$S$21</c:f>
              <c:numCache>
                <c:formatCode>General</c:formatCode>
                <c:ptCount val="8"/>
                <c:pt idx="0">
                  <c:v>5.6</c:v>
                </c:pt>
                <c:pt idx="1">
                  <c:v>5.9</c:v>
                </c:pt>
                <c:pt idx="2">
                  <c:v>9.1</c:v>
                </c:pt>
                <c:pt idx="3">
                  <c:v>17.100000000000001</c:v>
                </c:pt>
                <c:pt idx="4">
                  <c:v>26.6</c:v>
                </c:pt>
                <c:pt idx="5">
                  <c:v>38.200000000000003</c:v>
                </c:pt>
                <c:pt idx="6">
                  <c:v>57.9</c:v>
                </c:pt>
                <c:pt idx="7">
                  <c:v>61</c:v>
                </c:pt>
              </c:numCache>
            </c:numRef>
          </c:xVal>
          <c:yVal>
            <c:numRef>
              <c:f>程式試驗!$T$14:$T$21</c:f>
              <c:numCache>
                <c:formatCode>General</c:formatCode>
                <c:ptCount val="8"/>
                <c:pt idx="0">
                  <c:v>2.57</c:v>
                </c:pt>
                <c:pt idx="1">
                  <c:v>2.7</c:v>
                </c:pt>
                <c:pt idx="2">
                  <c:v>3.22</c:v>
                </c:pt>
                <c:pt idx="3">
                  <c:v>3.82</c:v>
                </c:pt>
                <c:pt idx="4">
                  <c:v>4.4800000000000004</c:v>
                </c:pt>
                <c:pt idx="5">
                  <c:v>5.0199999999999996</c:v>
                </c:pt>
                <c:pt idx="6">
                  <c:v>5.51</c:v>
                </c:pt>
                <c:pt idx="7">
                  <c:v>5.98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AF-46F7-9F6A-637DEF7418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*2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程式試驗!$U$1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程式試驗!$U$14:$U$21</c:f>
              <c:numCache>
                <c:formatCode>General</c:formatCode>
                <c:ptCount val="8"/>
                <c:pt idx="0">
                  <c:v>6.7</c:v>
                </c:pt>
                <c:pt idx="1">
                  <c:v>6.1</c:v>
                </c:pt>
                <c:pt idx="2">
                  <c:v>7.7</c:v>
                </c:pt>
                <c:pt idx="3">
                  <c:v>15</c:v>
                </c:pt>
                <c:pt idx="4">
                  <c:v>25.4</c:v>
                </c:pt>
                <c:pt idx="5">
                  <c:v>60</c:v>
                </c:pt>
                <c:pt idx="6">
                  <c:v>60.3</c:v>
                </c:pt>
                <c:pt idx="7">
                  <c:v>60.3</c:v>
                </c:pt>
              </c:numCache>
            </c:numRef>
          </c:xVal>
          <c:yVal>
            <c:numRef>
              <c:f>程式試驗!$V$14:$V$21</c:f>
              <c:numCache>
                <c:formatCode>General</c:formatCode>
                <c:ptCount val="8"/>
                <c:pt idx="0">
                  <c:v>0.84</c:v>
                </c:pt>
                <c:pt idx="1">
                  <c:v>0.81</c:v>
                </c:pt>
                <c:pt idx="2">
                  <c:v>0.92</c:v>
                </c:pt>
                <c:pt idx="3">
                  <c:v>1.07</c:v>
                </c:pt>
                <c:pt idx="4">
                  <c:v>1.31</c:v>
                </c:pt>
                <c:pt idx="5">
                  <c:v>1.54</c:v>
                </c:pt>
                <c:pt idx="6">
                  <c:v>1.59</c:v>
                </c:pt>
                <c:pt idx="7">
                  <c:v>1.59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7B-4F60-902B-5FF921297B40}"/>
            </c:ext>
          </c:extLst>
        </c:ser>
        <c:ser>
          <c:idx val="1"/>
          <c:order val="1"/>
          <c:tx>
            <c:strRef>
              <c:f>程式試驗!$W$1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程式試驗!$W$14:$W$21</c:f>
              <c:numCache>
                <c:formatCode>General</c:formatCode>
                <c:ptCount val="8"/>
                <c:pt idx="0">
                  <c:v>5.6</c:v>
                </c:pt>
                <c:pt idx="1">
                  <c:v>5.3</c:v>
                </c:pt>
                <c:pt idx="2">
                  <c:v>5.9</c:v>
                </c:pt>
                <c:pt idx="3">
                  <c:v>15.6</c:v>
                </c:pt>
                <c:pt idx="4">
                  <c:v>27.3</c:v>
                </c:pt>
                <c:pt idx="5">
                  <c:v>43.2</c:v>
                </c:pt>
                <c:pt idx="6">
                  <c:v>50.1</c:v>
                </c:pt>
                <c:pt idx="7">
                  <c:v>58.1</c:v>
                </c:pt>
              </c:numCache>
            </c:numRef>
          </c:xVal>
          <c:yVal>
            <c:numRef>
              <c:f>程式試驗!$X$14:$X$21</c:f>
              <c:numCache>
                <c:formatCode>General</c:formatCode>
                <c:ptCount val="8"/>
                <c:pt idx="0">
                  <c:v>1.42</c:v>
                </c:pt>
                <c:pt idx="1">
                  <c:v>1.41</c:v>
                </c:pt>
                <c:pt idx="2">
                  <c:v>1.59</c:v>
                </c:pt>
                <c:pt idx="3">
                  <c:v>2.14</c:v>
                </c:pt>
                <c:pt idx="4">
                  <c:v>2.59</c:v>
                </c:pt>
                <c:pt idx="5">
                  <c:v>3.04</c:v>
                </c:pt>
                <c:pt idx="6">
                  <c:v>3.17</c:v>
                </c:pt>
                <c:pt idx="7">
                  <c:v>3.34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7B-4F60-902B-5FF921297B40}"/>
            </c:ext>
          </c:extLst>
        </c:ser>
        <c:ser>
          <c:idx val="2"/>
          <c:order val="2"/>
          <c:tx>
            <c:strRef>
              <c:f>程式試驗!$Y$1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程式試驗!$Y$14:$Y$21</c:f>
              <c:numCache>
                <c:formatCode>General</c:formatCode>
                <c:ptCount val="8"/>
                <c:pt idx="0">
                  <c:v>6.1</c:v>
                </c:pt>
                <c:pt idx="1">
                  <c:v>6.1</c:v>
                </c:pt>
                <c:pt idx="2">
                  <c:v>6.2</c:v>
                </c:pt>
                <c:pt idx="3">
                  <c:v>15.9</c:v>
                </c:pt>
                <c:pt idx="4">
                  <c:v>28.6</c:v>
                </c:pt>
                <c:pt idx="5">
                  <c:v>40.1</c:v>
                </c:pt>
                <c:pt idx="6">
                  <c:v>48.2</c:v>
                </c:pt>
                <c:pt idx="7">
                  <c:v>56.1</c:v>
                </c:pt>
              </c:numCache>
            </c:numRef>
          </c:xVal>
          <c:yVal>
            <c:numRef>
              <c:f>程式試驗!$Z$14:$Z$21</c:f>
              <c:numCache>
                <c:formatCode>General</c:formatCode>
                <c:ptCount val="8"/>
                <c:pt idx="0">
                  <c:v>2.2799999999999998</c:v>
                </c:pt>
                <c:pt idx="1">
                  <c:v>2.29</c:v>
                </c:pt>
                <c:pt idx="2">
                  <c:v>2.2999999999999998</c:v>
                </c:pt>
                <c:pt idx="3">
                  <c:v>3.24</c:v>
                </c:pt>
                <c:pt idx="4">
                  <c:v>3.93</c:v>
                </c:pt>
                <c:pt idx="5">
                  <c:v>4.5199999999999996</c:v>
                </c:pt>
                <c:pt idx="6">
                  <c:v>4.74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7B-4F60-902B-5FF921297B40}"/>
            </c:ext>
          </c:extLst>
        </c:ser>
        <c:ser>
          <c:idx val="3"/>
          <c:order val="3"/>
          <c:tx>
            <c:strRef>
              <c:f>程式試驗!$AA$1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程式試驗!$AA$14:$AA$21</c:f>
              <c:numCache>
                <c:formatCode>General</c:formatCode>
                <c:ptCount val="8"/>
                <c:pt idx="0">
                  <c:v>5.4</c:v>
                </c:pt>
                <c:pt idx="1">
                  <c:v>5.9</c:v>
                </c:pt>
                <c:pt idx="2">
                  <c:v>5.8</c:v>
                </c:pt>
                <c:pt idx="3">
                  <c:v>21.2</c:v>
                </c:pt>
                <c:pt idx="4">
                  <c:v>26.8</c:v>
                </c:pt>
                <c:pt idx="5">
                  <c:v>39.700000000000003</c:v>
                </c:pt>
                <c:pt idx="6">
                  <c:v>46.8</c:v>
                </c:pt>
                <c:pt idx="7">
                  <c:v>48.3</c:v>
                </c:pt>
              </c:numCache>
            </c:numRef>
          </c:xVal>
          <c:yVal>
            <c:numRef>
              <c:f>程式試驗!$AB$14:$AB$21</c:f>
              <c:numCache>
                <c:formatCode>General</c:formatCode>
                <c:ptCount val="8"/>
                <c:pt idx="0">
                  <c:v>2.96</c:v>
                </c:pt>
                <c:pt idx="1">
                  <c:v>3.04</c:v>
                </c:pt>
                <c:pt idx="2">
                  <c:v>3.05</c:v>
                </c:pt>
                <c:pt idx="3">
                  <c:v>4.3099999999999996</c:v>
                </c:pt>
                <c:pt idx="4">
                  <c:v>5.25</c:v>
                </c:pt>
                <c:pt idx="5">
                  <c:v>5.94</c:v>
                </c:pt>
                <c:pt idx="6">
                  <c:v>6.31</c:v>
                </c:pt>
                <c:pt idx="7">
                  <c:v>6.45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7B-4F60-902B-5FF921297B40}"/>
            </c:ext>
          </c:extLst>
        </c:ser>
        <c:ser>
          <c:idx val="4"/>
          <c:order val="4"/>
          <c:tx>
            <c:strRef>
              <c:f>程式試驗!$AC$1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程式試驗!$AC$14:$AC$21</c:f>
              <c:numCache>
                <c:formatCode>General</c:formatCode>
                <c:ptCount val="8"/>
                <c:pt idx="0">
                  <c:v>4.2</c:v>
                </c:pt>
                <c:pt idx="1">
                  <c:v>5.4</c:v>
                </c:pt>
                <c:pt idx="2">
                  <c:v>4.9000000000000004</c:v>
                </c:pt>
                <c:pt idx="3">
                  <c:v>13.9</c:v>
                </c:pt>
                <c:pt idx="4">
                  <c:v>25.7</c:v>
                </c:pt>
                <c:pt idx="5">
                  <c:v>37.9</c:v>
                </c:pt>
                <c:pt idx="6">
                  <c:v>47.2</c:v>
                </c:pt>
                <c:pt idx="7">
                  <c:v>50.4</c:v>
                </c:pt>
              </c:numCache>
            </c:numRef>
          </c:xVal>
          <c:yVal>
            <c:numRef>
              <c:f>程式試驗!$AD$14:$AD$21</c:f>
              <c:numCache>
                <c:formatCode>General</c:formatCode>
                <c:ptCount val="8"/>
                <c:pt idx="0">
                  <c:v>3.73</c:v>
                </c:pt>
                <c:pt idx="1">
                  <c:v>4.05</c:v>
                </c:pt>
                <c:pt idx="2">
                  <c:v>3.92</c:v>
                </c:pt>
                <c:pt idx="3">
                  <c:v>5.41</c:v>
                </c:pt>
                <c:pt idx="4">
                  <c:v>6.48</c:v>
                </c:pt>
                <c:pt idx="5">
                  <c:v>7.44</c:v>
                </c:pt>
                <c:pt idx="6">
                  <c:v>8.02</c:v>
                </c:pt>
                <c:pt idx="7">
                  <c:v>8.43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7B-4F60-902B-5FF921297B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SPCC*1.5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程式試驗!$K$1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程式試驗!$K$4:$K$11</c:f>
              <c:numCache>
                <c:formatCode>General</c:formatCode>
                <c:ptCount val="8"/>
                <c:pt idx="0">
                  <c:v>7.2</c:v>
                </c:pt>
                <c:pt idx="1">
                  <c:v>11.7</c:v>
                </c:pt>
                <c:pt idx="2">
                  <c:v>16.600000000000001</c:v>
                </c:pt>
                <c:pt idx="3">
                  <c:v>31</c:v>
                </c:pt>
                <c:pt idx="4">
                  <c:v>46</c:v>
                </c:pt>
                <c:pt idx="5">
                  <c:v>60.5</c:v>
                </c:pt>
                <c:pt idx="6">
                  <c:v>76.2</c:v>
                </c:pt>
                <c:pt idx="7">
                  <c:v>91.1</c:v>
                </c:pt>
              </c:numCache>
            </c:numRef>
          </c:xVal>
          <c:yVal>
            <c:numRef>
              <c:f>程式試驗!$L$4:$L$11</c:f>
              <c:numCache>
                <c:formatCode>General</c:formatCode>
                <c:ptCount val="8"/>
                <c:pt idx="0">
                  <c:v>0.45</c:v>
                </c:pt>
                <c:pt idx="1">
                  <c:v>0.51</c:v>
                </c:pt>
                <c:pt idx="2">
                  <c:v>0.52</c:v>
                </c:pt>
                <c:pt idx="3">
                  <c:v>0.62</c:v>
                </c:pt>
                <c:pt idx="4">
                  <c:v>0.71</c:v>
                </c:pt>
                <c:pt idx="5">
                  <c:v>0.75</c:v>
                </c:pt>
                <c:pt idx="6">
                  <c:v>0.71</c:v>
                </c:pt>
                <c:pt idx="7">
                  <c:v>0.79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4A-4E8C-9E23-09E203857713}"/>
            </c:ext>
          </c:extLst>
        </c:ser>
        <c:ser>
          <c:idx val="1"/>
          <c:order val="1"/>
          <c:tx>
            <c:strRef>
              <c:f>程式試驗!$M$1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程式試驗!$M$4:$M$11</c:f>
              <c:numCache>
                <c:formatCode>General</c:formatCode>
                <c:ptCount val="8"/>
                <c:pt idx="0">
                  <c:v>6.8</c:v>
                </c:pt>
                <c:pt idx="1">
                  <c:v>11.1</c:v>
                </c:pt>
                <c:pt idx="2">
                  <c:v>15.6</c:v>
                </c:pt>
                <c:pt idx="3">
                  <c:v>30.6</c:v>
                </c:pt>
                <c:pt idx="4">
                  <c:v>45.5</c:v>
                </c:pt>
                <c:pt idx="5">
                  <c:v>60.5</c:v>
                </c:pt>
                <c:pt idx="6">
                  <c:v>75.2</c:v>
                </c:pt>
                <c:pt idx="7">
                  <c:v>90.6</c:v>
                </c:pt>
              </c:numCache>
            </c:numRef>
          </c:xVal>
          <c:yVal>
            <c:numRef>
              <c:f>程式試驗!$N$4:$N$11</c:f>
              <c:numCache>
                <c:formatCode>General</c:formatCode>
                <c:ptCount val="8"/>
                <c:pt idx="0">
                  <c:v>0.97</c:v>
                </c:pt>
                <c:pt idx="1">
                  <c:v>1.1399999999999999</c:v>
                </c:pt>
                <c:pt idx="2">
                  <c:v>1.24</c:v>
                </c:pt>
                <c:pt idx="3">
                  <c:v>1.44</c:v>
                </c:pt>
                <c:pt idx="4">
                  <c:v>1.54</c:v>
                </c:pt>
                <c:pt idx="5">
                  <c:v>1.61</c:v>
                </c:pt>
                <c:pt idx="6">
                  <c:v>1.57</c:v>
                </c:pt>
                <c:pt idx="7">
                  <c:v>1.57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4A-4E8C-9E23-09E203857713}"/>
            </c:ext>
          </c:extLst>
        </c:ser>
        <c:ser>
          <c:idx val="2"/>
          <c:order val="2"/>
          <c:tx>
            <c:strRef>
              <c:f>程式試驗!$O$1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程式試驗!$O$4:$O$11</c:f>
              <c:numCache>
                <c:formatCode>General</c:formatCode>
                <c:ptCount val="8"/>
                <c:pt idx="0">
                  <c:v>5.5</c:v>
                </c:pt>
                <c:pt idx="1">
                  <c:v>10</c:v>
                </c:pt>
                <c:pt idx="2">
                  <c:v>15.6</c:v>
                </c:pt>
                <c:pt idx="3">
                  <c:v>30.1</c:v>
                </c:pt>
                <c:pt idx="4">
                  <c:v>44.4</c:v>
                </c:pt>
                <c:pt idx="5">
                  <c:v>59.8</c:v>
                </c:pt>
                <c:pt idx="6">
                  <c:v>74</c:v>
                </c:pt>
                <c:pt idx="7">
                  <c:v>89.5</c:v>
                </c:pt>
              </c:numCache>
            </c:numRef>
          </c:xVal>
          <c:yVal>
            <c:numRef>
              <c:f>程式試驗!$P$4:$P$11</c:f>
              <c:numCache>
                <c:formatCode>General</c:formatCode>
                <c:ptCount val="8"/>
                <c:pt idx="0">
                  <c:v>1.46</c:v>
                </c:pt>
                <c:pt idx="1">
                  <c:v>1.69</c:v>
                </c:pt>
                <c:pt idx="2">
                  <c:v>1.87</c:v>
                </c:pt>
                <c:pt idx="3">
                  <c:v>2.15</c:v>
                </c:pt>
                <c:pt idx="4">
                  <c:v>2.34</c:v>
                </c:pt>
                <c:pt idx="5">
                  <c:v>2.38</c:v>
                </c:pt>
                <c:pt idx="6">
                  <c:v>2.29</c:v>
                </c:pt>
                <c:pt idx="7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4A-4E8C-9E23-09E203857713}"/>
            </c:ext>
          </c:extLst>
        </c:ser>
        <c:ser>
          <c:idx val="3"/>
          <c:order val="3"/>
          <c:tx>
            <c:strRef>
              <c:f>程式試驗!$Q$1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程式試驗!$Q$4:$Q$11</c:f>
              <c:numCache>
                <c:formatCode>General</c:formatCode>
                <c:ptCount val="8"/>
                <c:pt idx="0">
                  <c:v>6.1</c:v>
                </c:pt>
                <c:pt idx="1">
                  <c:v>11</c:v>
                </c:pt>
                <c:pt idx="2">
                  <c:v>15.2</c:v>
                </c:pt>
                <c:pt idx="3">
                  <c:v>29.7</c:v>
                </c:pt>
                <c:pt idx="4">
                  <c:v>44.5</c:v>
                </c:pt>
                <c:pt idx="5">
                  <c:v>59.2</c:v>
                </c:pt>
                <c:pt idx="6">
                  <c:v>74.900000000000006</c:v>
                </c:pt>
                <c:pt idx="7">
                  <c:v>90.1</c:v>
                </c:pt>
              </c:numCache>
            </c:numRef>
          </c:xVal>
          <c:yVal>
            <c:numRef>
              <c:f>程式試驗!$R$4:$R$11</c:f>
              <c:numCache>
                <c:formatCode>General</c:formatCode>
                <c:ptCount val="8"/>
                <c:pt idx="0">
                  <c:v>2.23</c:v>
                </c:pt>
                <c:pt idx="1">
                  <c:v>2.42</c:v>
                </c:pt>
                <c:pt idx="2">
                  <c:v>2.59</c:v>
                </c:pt>
                <c:pt idx="3">
                  <c:v>2.96</c:v>
                </c:pt>
                <c:pt idx="4">
                  <c:v>3.22</c:v>
                </c:pt>
                <c:pt idx="5">
                  <c:v>3.28</c:v>
                </c:pt>
                <c:pt idx="6">
                  <c:v>3.24</c:v>
                </c:pt>
                <c:pt idx="7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4A-4E8C-9E23-09E203857713}"/>
            </c:ext>
          </c:extLst>
        </c:ser>
        <c:ser>
          <c:idx val="4"/>
          <c:order val="4"/>
          <c:tx>
            <c:strRef>
              <c:f>程式試驗!$S$1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程式試驗!$S$4:$S$11</c:f>
              <c:numCache>
                <c:formatCode>General</c:formatCode>
                <c:ptCount val="8"/>
                <c:pt idx="0">
                  <c:v>6.1</c:v>
                </c:pt>
                <c:pt idx="1">
                  <c:v>10.4</c:v>
                </c:pt>
                <c:pt idx="2">
                  <c:v>14.1</c:v>
                </c:pt>
                <c:pt idx="3">
                  <c:v>29.2</c:v>
                </c:pt>
                <c:pt idx="4">
                  <c:v>45.2</c:v>
                </c:pt>
                <c:pt idx="5">
                  <c:v>60.1</c:v>
                </c:pt>
                <c:pt idx="6">
                  <c:v>75.400000000000006</c:v>
                </c:pt>
                <c:pt idx="7">
                  <c:v>90.1</c:v>
                </c:pt>
              </c:numCache>
            </c:numRef>
          </c:xVal>
          <c:yVal>
            <c:numRef>
              <c:f>程式試驗!$T$4:$T$11</c:f>
              <c:numCache>
                <c:formatCode>General</c:formatCode>
                <c:ptCount val="8"/>
                <c:pt idx="0">
                  <c:v>1.64</c:v>
                </c:pt>
                <c:pt idx="1">
                  <c:v>3.02</c:v>
                </c:pt>
                <c:pt idx="2">
                  <c:v>3.11</c:v>
                </c:pt>
                <c:pt idx="3">
                  <c:v>3.58</c:v>
                </c:pt>
                <c:pt idx="4">
                  <c:v>4.18</c:v>
                </c:pt>
                <c:pt idx="5">
                  <c:v>4.2300000000000004</c:v>
                </c:pt>
                <c:pt idx="6">
                  <c:v>4.1399999999999997</c:v>
                </c:pt>
                <c:pt idx="7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4A-4E8C-9E23-09E20385771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不撕</a:t>
            </a:r>
            <a:r>
              <a:rPr lang="en-US" altLang="zh-TW"/>
              <a:t>*1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程式試驗!$A$1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程式試驗!$A$24:$A$31</c:f>
              <c:numCache>
                <c:formatCode>General</c:formatCode>
                <c:ptCount val="8"/>
                <c:pt idx="0">
                  <c:v>10</c:v>
                </c:pt>
                <c:pt idx="1">
                  <c:v>14.5</c:v>
                </c:pt>
                <c:pt idx="2">
                  <c:v>19.3</c:v>
                </c:pt>
                <c:pt idx="3">
                  <c:v>36.299999999999997</c:v>
                </c:pt>
                <c:pt idx="4">
                  <c:v>51.2</c:v>
                </c:pt>
                <c:pt idx="5">
                  <c:v>64.900000000000006</c:v>
                </c:pt>
                <c:pt idx="6">
                  <c:v>83.6</c:v>
                </c:pt>
                <c:pt idx="7">
                  <c:v>93.8</c:v>
                </c:pt>
              </c:numCache>
            </c:numRef>
          </c:xVal>
          <c:yVal>
            <c:numRef>
              <c:f>程式試驗!$B$24:$B$31</c:f>
              <c:numCache>
                <c:formatCode>General</c:formatCode>
                <c:ptCount val="8"/>
                <c:pt idx="0">
                  <c:v>0.18</c:v>
                </c:pt>
                <c:pt idx="1">
                  <c:v>0.24</c:v>
                </c:pt>
                <c:pt idx="2">
                  <c:v>0.28000000000000003</c:v>
                </c:pt>
                <c:pt idx="3">
                  <c:v>0.4</c:v>
                </c:pt>
                <c:pt idx="4">
                  <c:v>0.49</c:v>
                </c:pt>
                <c:pt idx="5">
                  <c:v>0.56000000000000005</c:v>
                </c:pt>
                <c:pt idx="6">
                  <c:v>0.61</c:v>
                </c:pt>
                <c:pt idx="7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2-4BA0-98F3-7AB48836A217}"/>
            </c:ext>
          </c:extLst>
        </c:ser>
        <c:ser>
          <c:idx val="1"/>
          <c:order val="1"/>
          <c:tx>
            <c:strRef>
              <c:f>程式試驗!$C$1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程式試驗!$C$24:$C$31</c:f>
              <c:numCache>
                <c:formatCode>General</c:formatCode>
                <c:ptCount val="8"/>
                <c:pt idx="0">
                  <c:v>9.5</c:v>
                </c:pt>
                <c:pt idx="1">
                  <c:v>14.1</c:v>
                </c:pt>
                <c:pt idx="2">
                  <c:v>18.899999999999999</c:v>
                </c:pt>
                <c:pt idx="3">
                  <c:v>33.1</c:v>
                </c:pt>
                <c:pt idx="4">
                  <c:v>54.9</c:v>
                </c:pt>
                <c:pt idx="5">
                  <c:v>64.599999999999994</c:v>
                </c:pt>
                <c:pt idx="6">
                  <c:v>78.900000000000006</c:v>
                </c:pt>
                <c:pt idx="7">
                  <c:v>92.8</c:v>
                </c:pt>
              </c:numCache>
            </c:numRef>
          </c:xVal>
          <c:yVal>
            <c:numRef>
              <c:f>程式試驗!$D$24:$D$31</c:f>
              <c:numCache>
                <c:formatCode>General</c:formatCode>
                <c:ptCount val="8"/>
                <c:pt idx="0">
                  <c:v>0.51</c:v>
                </c:pt>
                <c:pt idx="1">
                  <c:v>0.56000000000000005</c:v>
                </c:pt>
                <c:pt idx="2">
                  <c:v>0.62</c:v>
                </c:pt>
                <c:pt idx="3">
                  <c:v>0.81</c:v>
                </c:pt>
                <c:pt idx="4">
                  <c:v>0.97</c:v>
                </c:pt>
                <c:pt idx="5">
                  <c:v>1.1200000000000001</c:v>
                </c:pt>
                <c:pt idx="6">
                  <c:v>1.2</c:v>
                </c:pt>
                <c:pt idx="7">
                  <c:v>2.0299999999999998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82-4BA0-98F3-7AB48836A217}"/>
            </c:ext>
          </c:extLst>
        </c:ser>
        <c:ser>
          <c:idx val="2"/>
          <c:order val="2"/>
          <c:tx>
            <c:strRef>
              <c:f>程式試驗!$E$1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程式試驗!$E$24:$E$31</c:f>
              <c:numCache>
                <c:formatCode>General</c:formatCode>
                <c:ptCount val="8"/>
                <c:pt idx="0">
                  <c:v>9.4</c:v>
                </c:pt>
                <c:pt idx="1">
                  <c:v>13.9</c:v>
                </c:pt>
                <c:pt idx="2">
                  <c:v>18.7</c:v>
                </c:pt>
                <c:pt idx="3">
                  <c:v>33.5</c:v>
                </c:pt>
                <c:pt idx="4">
                  <c:v>47.2</c:v>
                </c:pt>
                <c:pt idx="5">
                  <c:v>53.6</c:v>
                </c:pt>
                <c:pt idx="6">
                  <c:v>78.2</c:v>
                </c:pt>
                <c:pt idx="7">
                  <c:v>92.8</c:v>
                </c:pt>
              </c:numCache>
            </c:numRef>
          </c:xVal>
          <c:yVal>
            <c:numRef>
              <c:f>程式試驗!$F$24:$F$31</c:f>
              <c:numCache>
                <c:formatCode>General</c:formatCode>
                <c:ptCount val="8"/>
                <c:pt idx="0">
                  <c:v>0.79</c:v>
                </c:pt>
                <c:pt idx="1">
                  <c:v>0.86</c:v>
                </c:pt>
                <c:pt idx="2">
                  <c:v>0.97</c:v>
                </c:pt>
                <c:pt idx="3">
                  <c:v>1.24</c:v>
                </c:pt>
                <c:pt idx="4">
                  <c:v>1.42</c:v>
                </c:pt>
                <c:pt idx="5">
                  <c:v>1.59</c:v>
                </c:pt>
                <c:pt idx="6">
                  <c:v>1.8</c:v>
                </c:pt>
                <c:pt idx="7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82-4BA0-98F3-7AB48836A217}"/>
            </c:ext>
          </c:extLst>
        </c:ser>
        <c:ser>
          <c:idx val="3"/>
          <c:order val="3"/>
          <c:tx>
            <c:strRef>
              <c:f>程式試驗!$G$1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程式試驗!$G$24:$G$31</c:f>
              <c:numCache>
                <c:formatCode>General</c:formatCode>
                <c:ptCount val="8"/>
                <c:pt idx="0">
                  <c:v>9.1999999999999993</c:v>
                </c:pt>
                <c:pt idx="1">
                  <c:v>13.6</c:v>
                </c:pt>
                <c:pt idx="2">
                  <c:v>18</c:v>
                </c:pt>
                <c:pt idx="3">
                  <c:v>32.5</c:v>
                </c:pt>
                <c:pt idx="4">
                  <c:v>48</c:v>
                </c:pt>
                <c:pt idx="5">
                  <c:v>62.1</c:v>
                </c:pt>
                <c:pt idx="6">
                  <c:v>79.2</c:v>
                </c:pt>
                <c:pt idx="7">
                  <c:v>93</c:v>
                </c:pt>
              </c:numCache>
            </c:numRef>
          </c:xVal>
          <c:yVal>
            <c:numRef>
              <c:f>程式試驗!$H$24:$H$31</c:f>
              <c:numCache>
                <c:formatCode>General</c:formatCode>
                <c:ptCount val="8"/>
                <c:pt idx="0">
                  <c:v>1.1100000000000001</c:v>
                </c:pt>
                <c:pt idx="1">
                  <c:v>1.22</c:v>
                </c:pt>
                <c:pt idx="2">
                  <c:v>1.41</c:v>
                </c:pt>
                <c:pt idx="3">
                  <c:v>1.71</c:v>
                </c:pt>
                <c:pt idx="4">
                  <c:v>1.97</c:v>
                </c:pt>
                <c:pt idx="5">
                  <c:v>2.2599999999999998</c:v>
                </c:pt>
                <c:pt idx="6">
                  <c:v>2.5099999999999998</c:v>
                </c:pt>
                <c:pt idx="7">
                  <c:v>4.0199999999999996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82-4BA0-98F3-7AB48836A217}"/>
            </c:ext>
          </c:extLst>
        </c:ser>
        <c:ser>
          <c:idx val="4"/>
          <c:order val="4"/>
          <c:tx>
            <c:strRef>
              <c:f>程式試驗!$I$1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程式試驗!$I$24:$I$31</c:f>
              <c:numCache>
                <c:formatCode>General</c:formatCode>
                <c:ptCount val="8"/>
                <c:pt idx="0">
                  <c:v>9.6</c:v>
                </c:pt>
                <c:pt idx="1">
                  <c:v>13.9</c:v>
                </c:pt>
                <c:pt idx="2">
                  <c:v>18.7</c:v>
                </c:pt>
                <c:pt idx="3">
                  <c:v>33.1</c:v>
                </c:pt>
                <c:pt idx="4">
                  <c:v>47.9</c:v>
                </c:pt>
                <c:pt idx="5">
                  <c:v>64.2</c:v>
                </c:pt>
                <c:pt idx="6">
                  <c:v>78</c:v>
                </c:pt>
                <c:pt idx="7">
                  <c:v>92.2</c:v>
                </c:pt>
              </c:numCache>
            </c:numRef>
          </c:xVal>
          <c:yVal>
            <c:numRef>
              <c:f>程式試驗!$J$24:$J$31</c:f>
              <c:numCache>
                <c:formatCode>General</c:formatCode>
                <c:ptCount val="8"/>
                <c:pt idx="0">
                  <c:v>1.24</c:v>
                </c:pt>
                <c:pt idx="1">
                  <c:v>1.61</c:v>
                </c:pt>
                <c:pt idx="2">
                  <c:v>1.72</c:v>
                </c:pt>
                <c:pt idx="3">
                  <c:v>2.15</c:v>
                </c:pt>
                <c:pt idx="4">
                  <c:v>2.4700000000000002</c:v>
                </c:pt>
                <c:pt idx="5">
                  <c:v>2.87</c:v>
                </c:pt>
                <c:pt idx="6">
                  <c:v>3.03</c:v>
                </c:pt>
                <c:pt idx="7">
                  <c:v>4.9800000000000004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82-4BA0-98F3-7AB48836A2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不撕</a:t>
            </a:r>
            <a:r>
              <a:rPr lang="en-US" altLang="zh-TW"/>
              <a:t>*1.5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程式試驗!$K$1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程式試驗!$K$24:$K$31</c:f>
              <c:numCache>
                <c:formatCode>General</c:formatCode>
                <c:ptCount val="8"/>
                <c:pt idx="0">
                  <c:v>7.8</c:v>
                </c:pt>
                <c:pt idx="1">
                  <c:v>12.1</c:v>
                </c:pt>
                <c:pt idx="2">
                  <c:v>17.100000000000001</c:v>
                </c:pt>
                <c:pt idx="3">
                  <c:v>31.1</c:v>
                </c:pt>
                <c:pt idx="4">
                  <c:v>47</c:v>
                </c:pt>
                <c:pt idx="5">
                  <c:v>62.2</c:v>
                </c:pt>
                <c:pt idx="6">
                  <c:v>76.8</c:v>
                </c:pt>
                <c:pt idx="7">
                  <c:v>90.5</c:v>
                </c:pt>
              </c:numCache>
            </c:numRef>
          </c:xVal>
          <c:yVal>
            <c:numRef>
              <c:f>程式試驗!$L$24:$L$31</c:f>
              <c:numCache>
                <c:formatCode>General</c:formatCode>
                <c:ptCount val="8"/>
                <c:pt idx="0">
                  <c:v>0.41</c:v>
                </c:pt>
                <c:pt idx="1">
                  <c:v>0.47</c:v>
                </c:pt>
                <c:pt idx="2">
                  <c:v>0.56000000000000005</c:v>
                </c:pt>
                <c:pt idx="3">
                  <c:v>0.77</c:v>
                </c:pt>
                <c:pt idx="4">
                  <c:v>0.89</c:v>
                </c:pt>
                <c:pt idx="5">
                  <c:v>1.01</c:v>
                </c:pt>
                <c:pt idx="6">
                  <c:v>1.03</c:v>
                </c:pt>
                <c:pt idx="7">
                  <c:v>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DF-4862-8640-DF22CB916FC6}"/>
            </c:ext>
          </c:extLst>
        </c:ser>
        <c:ser>
          <c:idx val="1"/>
          <c:order val="1"/>
          <c:tx>
            <c:strRef>
              <c:f>程式試驗!$M$1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程式試驗!$M$24:$M$31</c:f>
              <c:numCache>
                <c:formatCode>General</c:formatCode>
                <c:ptCount val="8"/>
                <c:pt idx="0">
                  <c:v>7.6</c:v>
                </c:pt>
                <c:pt idx="1">
                  <c:v>11.8</c:v>
                </c:pt>
                <c:pt idx="2">
                  <c:v>16.399999999999999</c:v>
                </c:pt>
                <c:pt idx="3">
                  <c:v>30.6</c:v>
                </c:pt>
                <c:pt idx="4">
                  <c:v>46.2</c:v>
                </c:pt>
                <c:pt idx="5">
                  <c:v>59.8</c:v>
                </c:pt>
                <c:pt idx="6">
                  <c:v>76</c:v>
                </c:pt>
                <c:pt idx="7">
                  <c:v>91.5</c:v>
                </c:pt>
              </c:numCache>
            </c:numRef>
          </c:xVal>
          <c:yVal>
            <c:numRef>
              <c:f>程式試驗!$N$24:$N$31</c:f>
              <c:numCache>
                <c:formatCode>General</c:formatCode>
                <c:ptCount val="8"/>
                <c:pt idx="0">
                  <c:v>0.9</c:v>
                </c:pt>
                <c:pt idx="1">
                  <c:v>1.1200000000000001</c:v>
                </c:pt>
                <c:pt idx="2">
                  <c:v>1.29</c:v>
                </c:pt>
                <c:pt idx="3">
                  <c:v>1.59</c:v>
                </c:pt>
                <c:pt idx="4">
                  <c:v>1.84</c:v>
                </c:pt>
                <c:pt idx="5">
                  <c:v>2</c:v>
                </c:pt>
                <c:pt idx="6">
                  <c:v>2.1</c:v>
                </c:pt>
                <c:pt idx="7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DF-4862-8640-DF22CB916FC6}"/>
            </c:ext>
          </c:extLst>
        </c:ser>
        <c:ser>
          <c:idx val="2"/>
          <c:order val="2"/>
          <c:tx>
            <c:strRef>
              <c:f>程式試驗!$O$1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程式試驗!$O$24:$O$31</c:f>
              <c:numCache>
                <c:formatCode>General</c:formatCode>
                <c:ptCount val="8"/>
                <c:pt idx="0">
                  <c:v>6.9</c:v>
                </c:pt>
                <c:pt idx="1">
                  <c:v>11.5</c:v>
                </c:pt>
                <c:pt idx="2">
                  <c:v>16.2</c:v>
                </c:pt>
                <c:pt idx="3">
                  <c:v>30.1</c:v>
                </c:pt>
                <c:pt idx="4">
                  <c:v>45.9</c:v>
                </c:pt>
                <c:pt idx="5">
                  <c:v>61.1</c:v>
                </c:pt>
                <c:pt idx="6">
                  <c:v>76</c:v>
                </c:pt>
                <c:pt idx="7">
                  <c:v>90.1</c:v>
                </c:pt>
              </c:numCache>
            </c:numRef>
          </c:xVal>
          <c:yVal>
            <c:numRef>
              <c:f>程式試驗!$P$24:$P$31</c:f>
              <c:numCache>
                <c:formatCode>General</c:formatCode>
                <c:ptCount val="8"/>
                <c:pt idx="0">
                  <c:v>1.46</c:v>
                </c:pt>
                <c:pt idx="1">
                  <c:v>1.71</c:v>
                </c:pt>
                <c:pt idx="2">
                  <c:v>1.91</c:v>
                </c:pt>
                <c:pt idx="3">
                  <c:v>2.4</c:v>
                </c:pt>
                <c:pt idx="4">
                  <c:v>2.8</c:v>
                </c:pt>
                <c:pt idx="5">
                  <c:v>3.02</c:v>
                </c:pt>
                <c:pt idx="6">
                  <c:v>3.2</c:v>
                </c:pt>
                <c:pt idx="7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DF-4862-8640-DF22CB916FC6}"/>
            </c:ext>
          </c:extLst>
        </c:ser>
        <c:ser>
          <c:idx val="3"/>
          <c:order val="3"/>
          <c:tx>
            <c:strRef>
              <c:f>程式試驗!$Q$1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程式試驗!$Q$24:$Q$31</c:f>
              <c:numCache>
                <c:formatCode>General</c:formatCode>
                <c:ptCount val="8"/>
                <c:pt idx="0">
                  <c:v>7.1</c:v>
                </c:pt>
                <c:pt idx="1">
                  <c:v>12</c:v>
                </c:pt>
                <c:pt idx="2">
                  <c:v>16</c:v>
                </c:pt>
                <c:pt idx="3">
                  <c:v>29.7</c:v>
                </c:pt>
                <c:pt idx="4">
                  <c:v>44</c:v>
                </c:pt>
                <c:pt idx="5">
                  <c:v>60.5</c:v>
                </c:pt>
                <c:pt idx="6">
                  <c:v>75.3</c:v>
                </c:pt>
                <c:pt idx="7">
                  <c:v>90.2</c:v>
                </c:pt>
              </c:numCache>
            </c:numRef>
          </c:xVal>
          <c:yVal>
            <c:numRef>
              <c:f>程式試驗!$R$24:$R$31</c:f>
              <c:numCache>
                <c:formatCode>General</c:formatCode>
                <c:ptCount val="8"/>
                <c:pt idx="0">
                  <c:v>1.93</c:v>
                </c:pt>
                <c:pt idx="1">
                  <c:v>2.4</c:v>
                </c:pt>
                <c:pt idx="2">
                  <c:v>2.62</c:v>
                </c:pt>
                <c:pt idx="3">
                  <c:v>3.15</c:v>
                </c:pt>
                <c:pt idx="4">
                  <c:v>3.62</c:v>
                </c:pt>
                <c:pt idx="5">
                  <c:v>3.82</c:v>
                </c:pt>
                <c:pt idx="6">
                  <c:v>4.2</c:v>
                </c:pt>
                <c:pt idx="7">
                  <c:v>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DF-4862-8640-DF22CB916FC6}"/>
            </c:ext>
          </c:extLst>
        </c:ser>
        <c:ser>
          <c:idx val="4"/>
          <c:order val="4"/>
          <c:tx>
            <c:strRef>
              <c:f>程式試驗!$S$1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程式試驗!$S$24:$S$31</c:f>
              <c:numCache>
                <c:formatCode>General</c:formatCode>
                <c:ptCount val="8"/>
                <c:pt idx="0">
                  <c:v>7.6</c:v>
                </c:pt>
                <c:pt idx="1">
                  <c:v>11.8</c:v>
                </c:pt>
                <c:pt idx="2">
                  <c:v>16.100000000000001</c:v>
                </c:pt>
                <c:pt idx="3">
                  <c:v>29.8</c:v>
                </c:pt>
                <c:pt idx="4">
                  <c:v>44.5</c:v>
                </c:pt>
                <c:pt idx="5">
                  <c:v>59.5</c:v>
                </c:pt>
                <c:pt idx="6">
                  <c:v>75.8</c:v>
                </c:pt>
                <c:pt idx="7">
                  <c:v>90</c:v>
                </c:pt>
              </c:numCache>
            </c:numRef>
          </c:xVal>
          <c:yVal>
            <c:numRef>
              <c:f>程式試驗!$T$24:$T$31</c:f>
              <c:numCache>
                <c:formatCode>General</c:formatCode>
                <c:ptCount val="8"/>
                <c:pt idx="0">
                  <c:v>2.62</c:v>
                </c:pt>
                <c:pt idx="1">
                  <c:v>2.98</c:v>
                </c:pt>
                <c:pt idx="2">
                  <c:v>3.19</c:v>
                </c:pt>
                <c:pt idx="3">
                  <c:v>3.86</c:v>
                </c:pt>
                <c:pt idx="4">
                  <c:v>4.53</c:v>
                </c:pt>
                <c:pt idx="5">
                  <c:v>5.0199999999999996</c:v>
                </c:pt>
                <c:pt idx="6">
                  <c:v>5.34</c:v>
                </c:pt>
                <c:pt idx="7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DF-4862-8640-DF22CB916F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不撕</a:t>
            </a:r>
            <a:r>
              <a:rPr lang="en-US" altLang="zh-TW"/>
              <a:t>*2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程式試驗!$U$1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程式試驗!$U$24:$U$31</c:f>
              <c:numCache>
                <c:formatCode>General</c:formatCode>
                <c:ptCount val="8"/>
                <c:pt idx="0">
                  <c:v>5.9</c:v>
                </c:pt>
                <c:pt idx="1">
                  <c:v>5.8</c:v>
                </c:pt>
                <c:pt idx="2">
                  <c:v>9.4</c:v>
                </c:pt>
                <c:pt idx="3">
                  <c:v>14.8</c:v>
                </c:pt>
                <c:pt idx="4">
                  <c:v>24.8</c:v>
                </c:pt>
                <c:pt idx="5">
                  <c:v>35.9</c:v>
                </c:pt>
                <c:pt idx="6">
                  <c:v>43.9</c:v>
                </c:pt>
                <c:pt idx="7">
                  <c:v>50</c:v>
                </c:pt>
              </c:numCache>
            </c:numRef>
          </c:xVal>
          <c:yVal>
            <c:numRef>
              <c:f>程式試驗!$V$24:$V$31</c:f>
              <c:numCache>
                <c:formatCode>General</c:formatCode>
                <c:ptCount val="8"/>
                <c:pt idx="0">
                  <c:v>0.71</c:v>
                </c:pt>
                <c:pt idx="1">
                  <c:v>0.71</c:v>
                </c:pt>
                <c:pt idx="2">
                  <c:v>0.88</c:v>
                </c:pt>
                <c:pt idx="3">
                  <c:v>1.0900000000000001</c:v>
                </c:pt>
                <c:pt idx="4">
                  <c:v>1.31</c:v>
                </c:pt>
                <c:pt idx="5">
                  <c:v>1.5</c:v>
                </c:pt>
                <c:pt idx="6">
                  <c:v>1.57</c:v>
                </c:pt>
                <c:pt idx="7">
                  <c:v>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9-4C28-B848-0CE85DB663D9}"/>
            </c:ext>
          </c:extLst>
        </c:ser>
        <c:ser>
          <c:idx val="1"/>
          <c:order val="1"/>
          <c:tx>
            <c:strRef>
              <c:f>程式試驗!$W$1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程式試驗!$W$24:$W$31</c:f>
              <c:numCache>
                <c:formatCode>General</c:formatCode>
                <c:ptCount val="8"/>
                <c:pt idx="0">
                  <c:v>5.9</c:v>
                </c:pt>
                <c:pt idx="1">
                  <c:v>5.8</c:v>
                </c:pt>
                <c:pt idx="2">
                  <c:v>6.1</c:v>
                </c:pt>
                <c:pt idx="3">
                  <c:v>13.8</c:v>
                </c:pt>
                <c:pt idx="4">
                  <c:v>24.1</c:v>
                </c:pt>
                <c:pt idx="5">
                  <c:v>31.8</c:v>
                </c:pt>
                <c:pt idx="6">
                  <c:v>41.1</c:v>
                </c:pt>
                <c:pt idx="7">
                  <c:v>44.6</c:v>
                </c:pt>
              </c:numCache>
            </c:numRef>
          </c:xVal>
          <c:yVal>
            <c:numRef>
              <c:f>程式試驗!$X$24:$X$31</c:f>
              <c:numCache>
                <c:formatCode>General</c:formatCode>
                <c:ptCount val="8"/>
                <c:pt idx="0">
                  <c:v>1.52</c:v>
                </c:pt>
                <c:pt idx="1">
                  <c:v>1.52</c:v>
                </c:pt>
                <c:pt idx="2">
                  <c:v>1.54</c:v>
                </c:pt>
                <c:pt idx="3">
                  <c:v>2.15</c:v>
                </c:pt>
                <c:pt idx="4">
                  <c:v>2.6</c:v>
                </c:pt>
                <c:pt idx="5">
                  <c:v>2.98</c:v>
                </c:pt>
                <c:pt idx="6">
                  <c:v>3.13</c:v>
                </c:pt>
                <c:pt idx="7">
                  <c:v>3.26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A9-4C28-B848-0CE85DB663D9}"/>
            </c:ext>
          </c:extLst>
        </c:ser>
        <c:ser>
          <c:idx val="2"/>
          <c:order val="2"/>
          <c:tx>
            <c:strRef>
              <c:f>程式試驗!$Y$1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程式試驗!$Y$24:$Y$31</c:f>
              <c:numCache>
                <c:formatCode>General</c:formatCode>
                <c:ptCount val="8"/>
                <c:pt idx="0">
                  <c:v>6.01</c:v>
                </c:pt>
                <c:pt idx="1">
                  <c:v>5.0999999999999996</c:v>
                </c:pt>
                <c:pt idx="2">
                  <c:v>5.6</c:v>
                </c:pt>
                <c:pt idx="3">
                  <c:v>13.2</c:v>
                </c:pt>
                <c:pt idx="4">
                  <c:v>25.4</c:v>
                </c:pt>
                <c:pt idx="5">
                  <c:v>35.4</c:v>
                </c:pt>
                <c:pt idx="6">
                  <c:v>42.7</c:v>
                </c:pt>
                <c:pt idx="7">
                  <c:v>51.6</c:v>
                </c:pt>
              </c:numCache>
            </c:numRef>
          </c:xVal>
          <c:yVal>
            <c:numRef>
              <c:f>程式試驗!$Z$24:$Z$31</c:f>
              <c:numCache>
                <c:formatCode>General</c:formatCode>
                <c:ptCount val="8"/>
                <c:pt idx="0">
                  <c:v>2.4</c:v>
                </c:pt>
                <c:pt idx="1">
                  <c:v>2.34</c:v>
                </c:pt>
                <c:pt idx="2">
                  <c:v>2.36</c:v>
                </c:pt>
                <c:pt idx="3">
                  <c:v>3.26</c:v>
                </c:pt>
                <c:pt idx="4">
                  <c:v>4.03</c:v>
                </c:pt>
                <c:pt idx="5">
                  <c:v>4.46</c:v>
                </c:pt>
                <c:pt idx="6">
                  <c:v>4.74</c:v>
                </c:pt>
                <c:pt idx="7">
                  <c:v>5.03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A9-4C28-B848-0CE85DB663D9}"/>
            </c:ext>
          </c:extLst>
        </c:ser>
        <c:ser>
          <c:idx val="3"/>
          <c:order val="3"/>
          <c:tx>
            <c:strRef>
              <c:f>程式試驗!$AA$1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程式試驗!$AA$24:$AA$31</c:f>
              <c:numCache>
                <c:formatCode>General</c:formatCode>
                <c:ptCount val="8"/>
                <c:pt idx="0">
                  <c:v>5.4</c:v>
                </c:pt>
                <c:pt idx="1">
                  <c:v>5.9</c:v>
                </c:pt>
                <c:pt idx="2">
                  <c:v>5.9</c:v>
                </c:pt>
                <c:pt idx="3">
                  <c:v>10.9</c:v>
                </c:pt>
                <c:pt idx="4">
                  <c:v>25.9</c:v>
                </c:pt>
                <c:pt idx="5">
                  <c:v>33.299999999999997</c:v>
                </c:pt>
                <c:pt idx="6">
                  <c:v>41.8</c:v>
                </c:pt>
                <c:pt idx="7">
                  <c:v>52.7</c:v>
                </c:pt>
              </c:numCache>
            </c:numRef>
          </c:xVal>
          <c:yVal>
            <c:numRef>
              <c:f>程式試驗!$AB$24:$AB$31</c:f>
              <c:numCache>
                <c:formatCode>General</c:formatCode>
                <c:ptCount val="8"/>
                <c:pt idx="0">
                  <c:v>3.07</c:v>
                </c:pt>
                <c:pt idx="1">
                  <c:v>3.15</c:v>
                </c:pt>
                <c:pt idx="2">
                  <c:v>3.15</c:v>
                </c:pt>
                <c:pt idx="3">
                  <c:v>4.25</c:v>
                </c:pt>
                <c:pt idx="4">
                  <c:v>5.43</c:v>
                </c:pt>
                <c:pt idx="5">
                  <c:v>5.9</c:v>
                </c:pt>
                <c:pt idx="6">
                  <c:v>6.26</c:v>
                </c:pt>
                <c:pt idx="7">
                  <c:v>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A9-4C28-B848-0CE85DB663D9}"/>
            </c:ext>
          </c:extLst>
        </c:ser>
        <c:ser>
          <c:idx val="4"/>
          <c:order val="4"/>
          <c:tx>
            <c:strRef>
              <c:f>程式試驗!$AC$1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程式試驗!$AC$24:$AC$31</c:f>
              <c:numCache>
                <c:formatCode>General</c:formatCode>
                <c:ptCount val="8"/>
                <c:pt idx="0">
                  <c:v>5.0599999999999996</c:v>
                </c:pt>
                <c:pt idx="1">
                  <c:v>6.01</c:v>
                </c:pt>
                <c:pt idx="2">
                  <c:v>8.1</c:v>
                </c:pt>
                <c:pt idx="3">
                  <c:v>15.5</c:v>
                </c:pt>
                <c:pt idx="4">
                  <c:v>24.9</c:v>
                </c:pt>
                <c:pt idx="5">
                  <c:v>33.299999999999997</c:v>
                </c:pt>
                <c:pt idx="6">
                  <c:v>42.9</c:v>
                </c:pt>
                <c:pt idx="7">
                  <c:v>51.7</c:v>
                </c:pt>
              </c:numCache>
            </c:numRef>
          </c:xVal>
          <c:yVal>
            <c:numRef>
              <c:f>程式試驗!$AD$24:$AD$31</c:f>
              <c:numCache>
                <c:formatCode>General</c:formatCode>
                <c:ptCount val="8"/>
                <c:pt idx="0">
                  <c:v>3.95</c:v>
                </c:pt>
                <c:pt idx="1">
                  <c:v>4.01</c:v>
                </c:pt>
                <c:pt idx="2">
                  <c:v>4.4800000000000004</c:v>
                </c:pt>
                <c:pt idx="3">
                  <c:v>5.71</c:v>
                </c:pt>
                <c:pt idx="4">
                  <c:v>6.52</c:v>
                </c:pt>
                <c:pt idx="5">
                  <c:v>7.38</c:v>
                </c:pt>
                <c:pt idx="6">
                  <c:v>8</c:v>
                </c:pt>
                <c:pt idx="7">
                  <c:v>8.23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A9-4C28-B848-0CE85DB663D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*1</a:t>
            </a:r>
            <a:r>
              <a:rPr lang="zh-TW" altLang="en-US"/>
              <a:t> </a:t>
            </a:r>
            <a:r>
              <a:rPr lang="en-US" altLang="zh-TW"/>
              <a:t>Compare(F&amp;T)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F50</c:v>
          </c:tx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程式預測!$B$14:$B$21</c:f>
              <c:numCache>
                <c:formatCode>General</c:formatCode>
                <c:ptCount val="8"/>
                <c:pt idx="0">
                  <c:v>0.18</c:v>
                </c:pt>
                <c:pt idx="1">
                  <c:v>0.24</c:v>
                </c:pt>
                <c:pt idx="2">
                  <c:v>0.28999999999999998</c:v>
                </c:pt>
                <c:pt idx="3">
                  <c:v>0.4</c:v>
                </c:pt>
                <c:pt idx="4">
                  <c:v>0.49</c:v>
                </c:pt>
                <c:pt idx="5">
                  <c:v>0.56000000000000005</c:v>
                </c:pt>
                <c:pt idx="6">
                  <c:v>0.61</c:v>
                </c:pt>
                <c:pt idx="7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84-47D1-8791-C4C6643C5140}"/>
            </c:ext>
          </c:extLst>
        </c:ser>
        <c:ser>
          <c:idx val="6"/>
          <c:order val="1"/>
          <c:tx>
            <c:v>F100</c:v>
          </c:tx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程式預測!$C$14:$C$21</c:f>
              <c:numCache>
                <c:formatCode>General</c:formatCode>
                <c:ptCount val="8"/>
                <c:pt idx="0">
                  <c:v>0.36</c:v>
                </c:pt>
                <c:pt idx="1">
                  <c:v>0.48</c:v>
                </c:pt>
                <c:pt idx="2">
                  <c:v>0.56999999999999995</c:v>
                </c:pt>
                <c:pt idx="3">
                  <c:v>0.8</c:v>
                </c:pt>
                <c:pt idx="4">
                  <c:v>0.99</c:v>
                </c:pt>
                <c:pt idx="5">
                  <c:v>1.1299999999999999</c:v>
                </c:pt>
                <c:pt idx="6">
                  <c:v>1.21</c:v>
                </c:pt>
                <c:pt idx="7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984-47D1-8791-C4C6643C5140}"/>
            </c:ext>
          </c:extLst>
        </c:ser>
        <c:ser>
          <c:idx val="7"/>
          <c:order val="2"/>
          <c:tx>
            <c:v>F150</c:v>
          </c:tx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程式預測!$D$14:$D$21</c:f>
              <c:numCache>
                <c:formatCode>General</c:formatCode>
                <c:ptCount val="8"/>
                <c:pt idx="0">
                  <c:v>0.54</c:v>
                </c:pt>
                <c:pt idx="1">
                  <c:v>0.72</c:v>
                </c:pt>
                <c:pt idx="2">
                  <c:v>0.86</c:v>
                </c:pt>
                <c:pt idx="3">
                  <c:v>1.2</c:v>
                </c:pt>
                <c:pt idx="4">
                  <c:v>1.48</c:v>
                </c:pt>
                <c:pt idx="5">
                  <c:v>1.69</c:v>
                </c:pt>
                <c:pt idx="6">
                  <c:v>1.82</c:v>
                </c:pt>
                <c:pt idx="7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984-47D1-8791-C4C6643C5140}"/>
            </c:ext>
          </c:extLst>
        </c:ser>
        <c:ser>
          <c:idx val="8"/>
          <c:order val="3"/>
          <c:tx>
            <c:v>F200</c:v>
          </c:tx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程式預測!$E$14:$E$21</c:f>
              <c:numCache>
                <c:formatCode>General</c:formatCode>
                <c:ptCount val="8"/>
                <c:pt idx="0">
                  <c:v>0.73</c:v>
                </c:pt>
                <c:pt idx="1">
                  <c:v>0.95</c:v>
                </c:pt>
                <c:pt idx="2">
                  <c:v>1.1399999999999999</c:v>
                </c:pt>
                <c:pt idx="3">
                  <c:v>1.6</c:v>
                </c:pt>
                <c:pt idx="4">
                  <c:v>1.97</c:v>
                </c:pt>
                <c:pt idx="5">
                  <c:v>2.2599999999999998</c:v>
                </c:pt>
                <c:pt idx="6">
                  <c:v>2.4300000000000002</c:v>
                </c:pt>
                <c:pt idx="7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984-47D1-8791-C4C6643C5140}"/>
            </c:ext>
          </c:extLst>
        </c:ser>
        <c:ser>
          <c:idx val="9"/>
          <c:order val="4"/>
          <c:tx>
            <c:v>F250</c:v>
          </c:tx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程式預測!$F$14:$F$21</c:f>
              <c:numCache>
                <c:formatCode>General</c:formatCode>
                <c:ptCount val="8"/>
                <c:pt idx="0">
                  <c:v>0.91</c:v>
                </c:pt>
                <c:pt idx="1">
                  <c:v>1.19</c:v>
                </c:pt>
                <c:pt idx="2">
                  <c:v>1.43</c:v>
                </c:pt>
                <c:pt idx="3">
                  <c:v>2</c:v>
                </c:pt>
                <c:pt idx="4">
                  <c:v>2.4700000000000002</c:v>
                </c:pt>
                <c:pt idx="5">
                  <c:v>2.82</c:v>
                </c:pt>
                <c:pt idx="6">
                  <c:v>3.03</c:v>
                </c:pt>
                <c:pt idx="7">
                  <c:v>3.12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984-47D1-8791-C4C6643C5140}"/>
            </c:ext>
          </c:extLst>
        </c:ser>
        <c:ser>
          <c:idx val="0"/>
          <c:order val="5"/>
          <c:tx>
            <c:v>T50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程式試驗!$A$14:$A$21</c:f>
              <c:numCache>
                <c:formatCode>General</c:formatCode>
                <c:ptCount val="8"/>
                <c:pt idx="0">
                  <c:v>8.1</c:v>
                </c:pt>
                <c:pt idx="1">
                  <c:v>13</c:v>
                </c:pt>
                <c:pt idx="2">
                  <c:v>17.7</c:v>
                </c:pt>
                <c:pt idx="3">
                  <c:v>32.6</c:v>
                </c:pt>
                <c:pt idx="4">
                  <c:v>47.5</c:v>
                </c:pt>
                <c:pt idx="5">
                  <c:v>62.5</c:v>
                </c:pt>
                <c:pt idx="6">
                  <c:v>81.5</c:v>
                </c:pt>
                <c:pt idx="7">
                  <c:v>93.2</c:v>
                </c:pt>
              </c:numCache>
            </c:numRef>
          </c:xVal>
          <c:yVal>
            <c:numRef>
              <c:f>程式試驗!$B$14:$B$21</c:f>
              <c:numCache>
                <c:formatCode>General</c:formatCode>
                <c:ptCount val="8"/>
                <c:pt idx="0">
                  <c:v>0.22</c:v>
                </c:pt>
                <c:pt idx="1">
                  <c:v>0.24</c:v>
                </c:pt>
                <c:pt idx="2">
                  <c:v>0.3</c:v>
                </c:pt>
                <c:pt idx="3">
                  <c:v>0.41</c:v>
                </c:pt>
                <c:pt idx="4">
                  <c:v>0.49</c:v>
                </c:pt>
                <c:pt idx="5">
                  <c:v>0.54</c:v>
                </c:pt>
                <c:pt idx="6">
                  <c:v>0.69</c:v>
                </c:pt>
                <c:pt idx="7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84-47D1-8791-C4C6643C5140}"/>
            </c:ext>
          </c:extLst>
        </c:ser>
        <c:ser>
          <c:idx val="1"/>
          <c:order val="6"/>
          <c:tx>
            <c:v>T100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程式試驗!$C$14:$C$21</c:f>
              <c:numCache>
                <c:formatCode>General</c:formatCode>
                <c:ptCount val="8"/>
                <c:pt idx="0">
                  <c:v>7.5</c:v>
                </c:pt>
                <c:pt idx="1">
                  <c:v>12.1</c:v>
                </c:pt>
                <c:pt idx="2">
                  <c:v>17.100000000000001</c:v>
                </c:pt>
                <c:pt idx="3">
                  <c:v>31.9</c:v>
                </c:pt>
                <c:pt idx="4">
                  <c:v>47.1</c:v>
                </c:pt>
                <c:pt idx="5">
                  <c:v>62.2</c:v>
                </c:pt>
                <c:pt idx="6">
                  <c:v>77.5</c:v>
                </c:pt>
                <c:pt idx="7">
                  <c:v>92.2</c:v>
                </c:pt>
              </c:numCache>
            </c:numRef>
          </c:xVal>
          <c:yVal>
            <c:numRef>
              <c:f>程式試驗!$D$14:$D$21</c:f>
              <c:numCache>
                <c:formatCode>General</c:formatCode>
                <c:ptCount val="8"/>
                <c:pt idx="0">
                  <c:v>0.54</c:v>
                </c:pt>
                <c:pt idx="1">
                  <c:v>0.62</c:v>
                </c:pt>
                <c:pt idx="2">
                  <c:v>0.67</c:v>
                </c:pt>
                <c:pt idx="3">
                  <c:v>0.88</c:v>
                </c:pt>
                <c:pt idx="4">
                  <c:v>1.05</c:v>
                </c:pt>
                <c:pt idx="5">
                  <c:v>1.18</c:v>
                </c:pt>
                <c:pt idx="6">
                  <c:v>1.24</c:v>
                </c:pt>
                <c:pt idx="7">
                  <c:v>1.97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984-47D1-8791-C4C6643C5140}"/>
            </c:ext>
          </c:extLst>
        </c:ser>
        <c:ser>
          <c:idx val="2"/>
          <c:order val="7"/>
          <c:tx>
            <c:v>T150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程式試驗!$E$14:$E$21</c:f>
              <c:numCache>
                <c:formatCode>General</c:formatCode>
                <c:ptCount val="8"/>
                <c:pt idx="0">
                  <c:v>7.4</c:v>
                </c:pt>
                <c:pt idx="1">
                  <c:v>12</c:v>
                </c:pt>
                <c:pt idx="2">
                  <c:v>17</c:v>
                </c:pt>
                <c:pt idx="3">
                  <c:v>31.5</c:v>
                </c:pt>
                <c:pt idx="4">
                  <c:v>46.4</c:v>
                </c:pt>
                <c:pt idx="5">
                  <c:v>62</c:v>
                </c:pt>
                <c:pt idx="6">
                  <c:v>77.900000000000006</c:v>
                </c:pt>
                <c:pt idx="7">
                  <c:v>92.1</c:v>
                </c:pt>
              </c:numCache>
            </c:numRef>
          </c:xVal>
          <c:yVal>
            <c:numRef>
              <c:f>程式試驗!$F$14:$F$21</c:f>
              <c:numCache>
                <c:formatCode>General</c:formatCode>
                <c:ptCount val="8"/>
                <c:pt idx="0">
                  <c:v>0.88</c:v>
                </c:pt>
                <c:pt idx="1">
                  <c:v>0.97</c:v>
                </c:pt>
                <c:pt idx="2">
                  <c:v>1.07</c:v>
                </c:pt>
                <c:pt idx="3">
                  <c:v>1.35</c:v>
                </c:pt>
                <c:pt idx="4">
                  <c:v>1.63</c:v>
                </c:pt>
                <c:pt idx="5">
                  <c:v>1.8</c:v>
                </c:pt>
                <c:pt idx="6">
                  <c:v>1.87</c:v>
                </c:pt>
                <c:pt idx="7">
                  <c:v>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984-47D1-8791-C4C6643C5140}"/>
            </c:ext>
          </c:extLst>
        </c:ser>
        <c:ser>
          <c:idx val="3"/>
          <c:order val="8"/>
          <c:tx>
            <c:v>T200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程式試驗!$G$14:$G$21</c:f>
              <c:numCache>
                <c:formatCode>General</c:formatCode>
                <c:ptCount val="8"/>
                <c:pt idx="0">
                  <c:v>7.1</c:v>
                </c:pt>
                <c:pt idx="1">
                  <c:v>12</c:v>
                </c:pt>
                <c:pt idx="2">
                  <c:v>16.8</c:v>
                </c:pt>
                <c:pt idx="3">
                  <c:v>21.8</c:v>
                </c:pt>
                <c:pt idx="4">
                  <c:v>46.8</c:v>
                </c:pt>
                <c:pt idx="5">
                  <c:v>61.8</c:v>
                </c:pt>
                <c:pt idx="6">
                  <c:v>77.900000000000006</c:v>
                </c:pt>
                <c:pt idx="7">
                  <c:v>92.1</c:v>
                </c:pt>
              </c:numCache>
            </c:numRef>
          </c:xVal>
          <c:yVal>
            <c:numRef>
              <c:f>程式試驗!$H$14:$H$21</c:f>
              <c:numCache>
                <c:formatCode>General</c:formatCode>
                <c:ptCount val="8"/>
                <c:pt idx="0">
                  <c:v>1.86</c:v>
                </c:pt>
                <c:pt idx="1">
                  <c:v>1.31</c:v>
                </c:pt>
                <c:pt idx="2">
                  <c:v>1.46</c:v>
                </c:pt>
                <c:pt idx="3">
                  <c:v>1.82</c:v>
                </c:pt>
                <c:pt idx="4">
                  <c:v>2.17</c:v>
                </c:pt>
                <c:pt idx="5">
                  <c:v>2.42</c:v>
                </c:pt>
                <c:pt idx="6">
                  <c:v>2.5099999999999998</c:v>
                </c:pt>
                <c:pt idx="7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84-47D1-8791-C4C6643C5140}"/>
            </c:ext>
          </c:extLst>
        </c:ser>
        <c:ser>
          <c:idx val="4"/>
          <c:order val="9"/>
          <c:tx>
            <c:v>T250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程式試驗!$I$14:$I$21</c:f>
              <c:numCache>
                <c:formatCode>General</c:formatCode>
                <c:ptCount val="8"/>
                <c:pt idx="0">
                  <c:v>7</c:v>
                </c:pt>
                <c:pt idx="1">
                  <c:v>12</c:v>
                </c:pt>
                <c:pt idx="2">
                  <c:v>16.5</c:v>
                </c:pt>
                <c:pt idx="3">
                  <c:v>31.2</c:v>
                </c:pt>
                <c:pt idx="4">
                  <c:v>46.1</c:v>
                </c:pt>
                <c:pt idx="5">
                  <c:v>61.5</c:v>
                </c:pt>
                <c:pt idx="6">
                  <c:v>77</c:v>
                </c:pt>
                <c:pt idx="7">
                  <c:v>91.3</c:v>
                </c:pt>
              </c:numCache>
            </c:numRef>
          </c:xVal>
          <c:yVal>
            <c:numRef>
              <c:f>程式試驗!$J$14:$J$21</c:f>
              <c:numCache>
                <c:formatCode>General</c:formatCode>
                <c:ptCount val="8"/>
                <c:pt idx="0">
                  <c:v>1.48</c:v>
                </c:pt>
                <c:pt idx="1">
                  <c:v>1.67</c:v>
                </c:pt>
                <c:pt idx="2">
                  <c:v>1.84</c:v>
                </c:pt>
                <c:pt idx="3">
                  <c:v>2.2999999999999998</c:v>
                </c:pt>
                <c:pt idx="4">
                  <c:v>2.77</c:v>
                </c:pt>
                <c:pt idx="5">
                  <c:v>3.02</c:v>
                </c:pt>
                <c:pt idx="6">
                  <c:v>3.17</c:v>
                </c:pt>
                <c:pt idx="7">
                  <c:v>4.67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84-47D1-8791-C4C6643C5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SPCC*1</a:t>
            </a:r>
            <a:r>
              <a:rPr lang="zh-TW" altLang="en-US"/>
              <a:t> </a:t>
            </a:r>
            <a:r>
              <a:rPr lang="en-US" altLang="zh-TW"/>
              <a:t>Compare(F&amp;T)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F50</c:v>
          </c:tx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程式預測!$B$4:$B$11</c:f>
              <c:numCache>
                <c:formatCode>General</c:formatCode>
                <c:ptCount val="8"/>
                <c:pt idx="0">
                  <c:v>0.16</c:v>
                </c:pt>
                <c:pt idx="1">
                  <c:v>0.21</c:v>
                </c:pt>
                <c:pt idx="2">
                  <c:v>0.24</c:v>
                </c:pt>
                <c:pt idx="3">
                  <c:v>0.32</c:v>
                </c:pt>
                <c:pt idx="4">
                  <c:v>0.38</c:v>
                </c:pt>
                <c:pt idx="5">
                  <c:v>0.43</c:v>
                </c:pt>
                <c:pt idx="6">
                  <c:v>0.45</c:v>
                </c:pt>
                <c:pt idx="7">
                  <c:v>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70-4A41-B456-C8E2D052334F}"/>
            </c:ext>
          </c:extLst>
        </c:ser>
        <c:ser>
          <c:idx val="6"/>
          <c:order val="1"/>
          <c:tx>
            <c:v>F100</c:v>
          </c:tx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程式預測!$C$4:$C$11</c:f>
              <c:numCache>
                <c:formatCode>General</c:formatCode>
                <c:ptCount val="8"/>
                <c:pt idx="0">
                  <c:v>0.33</c:v>
                </c:pt>
                <c:pt idx="1">
                  <c:v>0.41</c:v>
                </c:pt>
                <c:pt idx="2">
                  <c:v>0.48</c:v>
                </c:pt>
                <c:pt idx="3">
                  <c:v>0.64</c:v>
                </c:pt>
                <c:pt idx="4">
                  <c:v>0.76</c:v>
                </c:pt>
                <c:pt idx="5">
                  <c:v>0.85</c:v>
                </c:pt>
                <c:pt idx="6">
                  <c:v>0.9</c:v>
                </c:pt>
                <c:pt idx="7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70-4A41-B456-C8E2D052334F}"/>
            </c:ext>
          </c:extLst>
        </c:ser>
        <c:ser>
          <c:idx val="7"/>
          <c:order val="2"/>
          <c:tx>
            <c:v>F150</c:v>
          </c:tx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程式預測!$D$4:$D$11</c:f>
              <c:numCache>
                <c:formatCode>General</c:formatCode>
                <c:ptCount val="8"/>
                <c:pt idx="0">
                  <c:v>0.49</c:v>
                </c:pt>
                <c:pt idx="1">
                  <c:v>0.62</c:v>
                </c:pt>
                <c:pt idx="2">
                  <c:v>0.72</c:v>
                </c:pt>
                <c:pt idx="3">
                  <c:v>0.96</c:v>
                </c:pt>
                <c:pt idx="4">
                  <c:v>1.1399999999999999</c:v>
                </c:pt>
                <c:pt idx="5">
                  <c:v>1.28</c:v>
                </c:pt>
                <c:pt idx="6">
                  <c:v>1.35</c:v>
                </c:pt>
                <c:pt idx="7">
                  <c:v>1.38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70-4A41-B456-C8E2D052334F}"/>
            </c:ext>
          </c:extLst>
        </c:ser>
        <c:ser>
          <c:idx val="8"/>
          <c:order val="3"/>
          <c:tx>
            <c:v>F200</c:v>
          </c:tx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程式預測!$E$4:$E$11</c:f>
              <c:numCache>
                <c:formatCode>General</c:formatCode>
                <c:ptCount val="8"/>
                <c:pt idx="0">
                  <c:v>0.65</c:v>
                </c:pt>
                <c:pt idx="1">
                  <c:v>0.82</c:v>
                </c:pt>
                <c:pt idx="2">
                  <c:v>0.96</c:v>
                </c:pt>
                <c:pt idx="3">
                  <c:v>1.28</c:v>
                </c:pt>
                <c:pt idx="4">
                  <c:v>1.52</c:v>
                </c:pt>
                <c:pt idx="5">
                  <c:v>1.7</c:v>
                </c:pt>
                <c:pt idx="6">
                  <c:v>1.8</c:v>
                </c:pt>
                <c:pt idx="7">
                  <c:v>1.84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70-4A41-B456-C8E2D052334F}"/>
            </c:ext>
          </c:extLst>
        </c:ser>
        <c:ser>
          <c:idx val="9"/>
          <c:order val="4"/>
          <c:tx>
            <c:v>F250</c:v>
          </c:tx>
          <c:xVal>
            <c:numRef>
              <c:f>程式預測!$A$4:$A$11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程式預測!$F$4:$F$11</c:f>
              <c:numCache>
                <c:formatCode>General</c:formatCode>
                <c:ptCount val="8"/>
                <c:pt idx="0">
                  <c:v>0.82</c:v>
                </c:pt>
                <c:pt idx="1">
                  <c:v>1.03</c:v>
                </c:pt>
                <c:pt idx="2">
                  <c:v>1.2</c:v>
                </c:pt>
                <c:pt idx="3">
                  <c:v>1.6</c:v>
                </c:pt>
                <c:pt idx="4">
                  <c:v>1.9</c:v>
                </c:pt>
                <c:pt idx="5">
                  <c:v>2.13</c:v>
                </c:pt>
                <c:pt idx="6">
                  <c:v>2.25</c:v>
                </c:pt>
                <c:pt idx="7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70-4A41-B456-C8E2D052334F}"/>
            </c:ext>
          </c:extLst>
        </c:ser>
        <c:ser>
          <c:idx val="0"/>
          <c:order val="5"/>
          <c:tx>
            <c:v>T50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程式試驗!$A$4:$A$8</c:f>
              <c:numCache>
                <c:formatCode>General</c:formatCode>
                <c:ptCount val="5"/>
                <c:pt idx="0">
                  <c:v>3.6</c:v>
                </c:pt>
                <c:pt idx="1">
                  <c:v>19</c:v>
                </c:pt>
                <c:pt idx="2">
                  <c:v>35.6</c:v>
                </c:pt>
                <c:pt idx="3">
                  <c:v>58</c:v>
                </c:pt>
                <c:pt idx="4">
                  <c:v>93.5</c:v>
                </c:pt>
              </c:numCache>
            </c:numRef>
          </c:xVal>
          <c:yVal>
            <c:numRef>
              <c:f>程式試驗!$B$4:$B$8</c:f>
              <c:numCache>
                <c:formatCode>General</c:formatCode>
                <c:ptCount val="5"/>
                <c:pt idx="0">
                  <c:v>7.0000000000000007E-2</c:v>
                </c:pt>
                <c:pt idx="1">
                  <c:v>0.21</c:v>
                </c:pt>
                <c:pt idx="2">
                  <c:v>0.24</c:v>
                </c:pt>
                <c:pt idx="3">
                  <c:v>0.32</c:v>
                </c:pt>
                <c:pt idx="4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70-4A41-B456-C8E2D052334F}"/>
            </c:ext>
          </c:extLst>
        </c:ser>
        <c:ser>
          <c:idx val="1"/>
          <c:order val="6"/>
          <c:tx>
            <c:v>T100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程式試驗!$C$4:$C$8</c:f>
              <c:numCache>
                <c:formatCode>General</c:formatCode>
                <c:ptCount val="5"/>
                <c:pt idx="0">
                  <c:v>8</c:v>
                </c:pt>
                <c:pt idx="1">
                  <c:v>12.8</c:v>
                </c:pt>
                <c:pt idx="2">
                  <c:v>17.5</c:v>
                </c:pt>
                <c:pt idx="3">
                  <c:v>36.9</c:v>
                </c:pt>
                <c:pt idx="4">
                  <c:v>92</c:v>
                </c:pt>
              </c:numCache>
            </c:numRef>
          </c:xVal>
          <c:yVal>
            <c:numRef>
              <c:f>程式試驗!$D$4:$D$8</c:f>
              <c:numCache>
                <c:formatCode>General</c:formatCode>
                <c:ptCount val="5"/>
                <c:pt idx="0">
                  <c:v>0.33</c:v>
                </c:pt>
                <c:pt idx="1">
                  <c:v>0.41</c:v>
                </c:pt>
                <c:pt idx="2">
                  <c:v>0.48</c:v>
                </c:pt>
                <c:pt idx="3">
                  <c:v>0.64</c:v>
                </c:pt>
                <c:pt idx="4">
                  <c:v>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E70-4A41-B456-C8E2D052334F}"/>
            </c:ext>
          </c:extLst>
        </c:ser>
        <c:ser>
          <c:idx val="2"/>
          <c:order val="7"/>
          <c:tx>
            <c:v>T150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程式試驗!$E$4:$E$10</c:f>
              <c:numCache>
                <c:formatCode>General</c:formatCode>
                <c:ptCount val="7"/>
                <c:pt idx="0">
                  <c:v>8</c:v>
                </c:pt>
                <c:pt idx="1">
                  <c:v>12.5</c:v>
                </c:pt>
                <c:pt idx="2">
                  <c:v>17.399999999999999</c:v>
                </c:pt>
                <c:pt idx="3">
                  <c:v>32.1</c:v>
                </c:pt>
                <c:pt idx="4">
                  <c:v>46.8</c:v>
                </c:pt>
                <c:pt idx="5">
                  <c:v>72.7</c:v>
                </c:pt>
                <c:pt idx="6">
                  <c:v>91.8</c:v>
                </c:pt>
              </c:numCache>
            </c:numRef>
          </c:xVal>
          <c:yVal>
            <c:numRef>
              <c:f>程式試驗!$F$4:$F$10</c:f>
              <c:numCache>
                <c:formatCode>General</c:formatCode>
                <c:ptCount val="7"/>
                <c:pt idx="0">
                  <c:v>0.64</c:v>
                </c:pt>
                <c:pt idx="1">
                  <c:v>0.73</c:v>
                </c:pt>
                <c:pt idx="2">
                  <c:v>0.75</c:v>
                </c:pt>
                <c:pt idx="3">
                  <c:v>0.96</c:v>
                </c:pt>
                <c:pt idx="4">
                  <c:v>1.1399999999999999</c:v>
                </c:pt>
                <c:pt idx="5">
                  <c:v>1.28</c:v>
                </c:pt>
                <c:pt idx="6">
                  <c:v>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E70-4A41-B456-C8E2D052334F}"/>
            </c:ext>
          </c:extLst>
        </c:ser>
        <c:ser>
          <c:idx val="3"/>
          <c:order val="8"/>
          <c:tx>
            <c:v>T200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程式試驗!$G$4:$G$10</c:f>
              <c:numCache>
                <c:formatCode>General</c:formatCode>
                <c:ptCount val="7"/>
                <c:pt idx="0">
                  <c:v>7.9</c:v>
                </c:pt>
                <c:pt idx="1">
                  <c:v>12.5</c:v>
                </c:pt>
                <c:pt idx="2">
                  <c:v>17.100000000000001</c:v>
                </c:pt>
                <c:pt idx="3">
                  <c:v>31.9</c:v>
                </c:pt>
                <c:pt idx="4">
                  <c:v>46.9</c:v>
                </c:pt>
                <c:pt idx="5">
                  <c:v>68.5</c:v>
                </c:pt>
                <c:pt idx="6">
                  <c:v>92.1</c:v>
                </c:pt>
              </c:numCache>
            </c:numRef>
          </c:xVal>
          <c:yVal>
            <c:numRef>
              <c:f>程式試驗!$H$4:$H$10</c:f>
              <c:numCache>
                <c:formatCode>General</c:formatCode>
                <c:ptCount val="7"/>
                <c:pt idx="0">
                  <c:v>0.9</c:v>
                </c:pt>
                <c:pt idx="1">
                  <c:v>1.05</c:v>
                </c:pt>
                <c:pt idx="2">
                  <c:v>1.1399999999999999</c:v>
                </c:pt>
                <c:pt idx="3">
                  <c:v>1.35</c:v>
                </c:pt>
                <c:pt idx="4">
                  <c:v>1.52</c:v>
                </c:pt>
                <c:pt idx="5">
                  <c:v>1.7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70-4A41-B456-C8E2D052334F}"/>
            </c:ext>
          </c:extLst>
        </c:ser>
        <c:ser>
          <c:idx val="4"/>
          <c:order val="9"/>
          <c:tx>
            <c:v>T250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程式試驗!$I$4:$I$10</c:f>
              <c:numCache>
                <c:formatCode>General</c:formatCode>
                <c:ptCount val="7"/>
                <c:pt idx="0">
                  <c:v>7.8</c:v>
                </c:pt>
                <c:pt idx="1">
                  <c:v>12.3</c:v>
                </c:pt>
                <c:pt idx="2">
                  <c:v>17.100000000000001</c:v>
                </c:pt>
                <c:pt idx="3">
                  <c:v>31.7</c:v>
                </c:pt>
                <c:pt idx="4">
                  <c:v>46.6</c:v>
                </c:pt>
                <c:pt idx="5">
                  <c:v>62.1</c:v>
                </c:pt>
                <c:pt idx="6">
                  <c:v>93.8</c:v>
                </c:pt>
              </c:numCache>
            </c:numRef>
          </c:xVal>
          <c:yVal>
            <c:numRef>
              <c:f>程式試驗!$J$4:$J$10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1.35</c:v>
                </c:pt>
                <c:pt idx="2">
                  <c:v>1.42</c:v>
                </c:pt>
                <c:pt idx="3">
                  <c:v>1.69</c:v>
                </c:pt>
                <c:pt idx="4">
                  <c:v>1.9</c:v>
                </c:pt>
                <c:pt idx="5">
                  <c:v>2.13</c:v>
                </c:pt>
                <c:pt idx="6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E70-4A41-B456-C8E2D0523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SPCC*1.5 Compare(F&amp;T)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F50</c:v>
          </c:tx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程式預測!$H$4:$H$11</c:f>
              <c:numCache>
                <c:formatCode>General</c:formatCode>
                <c:ptCount val="8"/>
                <c:pt idx="0">
                  <c:v>0.3</c:v>
                </c:pt>
                <c:pt idx="1">
                  <c:v>0.38</c:v>
                </c:pt>
                <c:pt idx="2">
                  <c:v>0.44</c:v>
                </c:pt>
                <c:pt idx="3">
                  <c:v>0.57999999999999996</c:v>
                </c:pt>
                <c:pt idx="4">
                  <c:v>0.68</c:v>
                </c:pt>
                <c:pt idx="5">
                  <c:v>0.74</c:v>
                </c:pt>
                <c:pt idx="6">
                  <c:v>0.77</c:v>
                </c:pt>
                <c:pt idx="7">
                  <c:v>0.77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9-42A5-8A64-23F80F114B1E}"/>
            </c:ext>
          </c:extLst>
        </c:ser>
        <c:ser>
          <c:idx val="6"/>
          <c:order val="1"/>
          <c:tx>
            <c:v>F100</c:v>
          </c:tx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程式預測!$I$4:$I$11</c:f>
              <c:numCache>
                <c:formatCode>General</c:formatCode>
                <c:ptCount val="8"/>
                <c:pt idx="0">
                  <c:v>0.6</c:v>
                </c:pt>
                <c:pt idx="1">
                  <c:v>0.76</c:v>
                </c:pt>
                <c:pt idx="2">
                  <c:v>0.88</c:v>
                </c:pt>
                <c:pt idx="3">
                  <c:v>1.1499999999999999</c:v>
                </c:pt>
                <c:pt idx="4">
                  <c:v>1.36</c:v>
                </c:pt>
                <c:pt idx="5">
                  <c:v>1.49</c:v>
                </c:pt>
                <c:pt idx="6">
                  <c:v>1.54</c:v>
                </c:pt>
                <c:pt idx="7">
                  <c:v>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79-42A5-8A64-23F80F114B1E}"/>
            </c:ext>
          </c:extLst>
        </c:ser>
        <c:ser>
          <c:idx val="7"/>
          <c:order val="2"/>
          <c:tx>
            <c:v>F150</c:v>
          </c:tx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程式預測!$J$4:$J$11</c:f>
              <c:numCache>
                <c:formatCode>General</c:formatCode>
                <c:ptCount val="8"/>
                <c:pt idx="0">
                  <c:v>0.9</c:v>
                </c:pt>
                <c:pt idx="1">
                  <c:v>1.1299999999999999</c:v>
                </c:pt>
                <c:pt idx="2">
                  <c:v>1.32</c:v>
                </c:pt>
                <c:pt idx="3">
                  <c:v>1.73</c:v>
                </c:pt>
                <c:pt idx="4">
                  <c:v>2.0299999999999998</c:v>
                </c:pt>
                <c:pt idx="5">
                  <c:v>2.23</c:v>
                </c:pt>
                <c:pt idx="6">
                  <c:v>2.31</c:v>
                </c:pt>
                <c:pt idx="7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79-42A5-8A64-23F80F114B1E}"/>
            </c:ext>
          </c:extLst>
        </c:ser>
        <c:ser>
          <c:idx val="8"/>
          <c:order val="3"/>
          <c:tx>
            <c:v>F200</c:v>
          </c:tx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程式預測!$K$4:$K$11</c:f>
              <c:numCache>
                <c:formatCode>General</c:formatCode>
                <c:ptCount val="8"/>
                <c:pt idx="0">
                  <c:v>1.2</c:v>
                </c:pt>
                <c:pt idx="1">
                  <c:v>1.51</c:v>
                </c:pt>
                <c:pt idx="2">
                  <c:v>1.75</c:v>
                </c:pt>
                <c:pt idx="3">
                  <c:v>2.31</c:v>
                </c:pt>
                <c:pt idx="4">
                  <c:v>2.71</c:v>
                </c:pt>
                <c:pt idx="5">
                  <c:v>2.98</c:v>
                </c:pt>
                <c:pt idx="6">
                  <c:v>3.09</c:v>
                </c:pt>
                <c:pt idx="7">
                  <c:v>3.07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79-42A5-8A64-23F80F114B1E}"/>
            </c:ext>
          </c:extLst>
        </c:ser>
        <c:ser>
          <c:idx val="9"/>
          <c:order val="4"/>
          <c:tx>
            <c:v>F250</c:v>
          </c:tx>
          <c:xVal>
            <c:numRef>
              <c:f>程式預測!$G$4:$G$11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程式預測!$L$4:$L$11</c:f>
              <c:numCache>
                <c:formatCode>General</c:formatCode>
                <c:ptCount val="8"/>
                <c:pt idx="0">
                  <c:v>1.5</c:v>
                </c:pt>
                <c:pt idx="1">
                  <c:v>1.89</c:v>
                </c:pt>
                <c:pt idx="2">
                  <c:v>2.19</c:v>
                </c:pt>
                <c:pt idx="3">
                  <c:v>2.88</c:v>
                </c:pt>
                <c:pt idx="4">
                  <c:v>3.39</c:v>
                </c:pt>
                <c:pt idx="5">
                  <c:v>3.72</c:v>
                </c:pt>
                <c:pt idx="6">
                  <c:v>3.86</c:v>
                </c:pt>
                <c:pt idx="7">
                  <c:v>3.83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79-42A5-8A64-23F80F114B1E}"/>
            </c:ext>
          </c:extLst>
        </c:ser>
        <c:ser>
          <c:idx val="0"/>
          <c:order val="5"/>
          <c:tx>
            <c:v>T50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程式試驗!$K$4:$K$11</c:f>
              <c:numCache>
                <c:formatCode>General</c:formatCode>
                <c:ptCount val="8"/>
                <c:pt idx="0">
                  <c:v>7.2</c:v>
                </c:pt>
                <c:pt idx="1">
                  <c:v>11.7</c:v>
                </c:pt>
                <c:pt idx="2">
                  <c:v>16.600000000000001</c:v>
                </c:pt>
                <c:pt idx="3">
                  <c:v>31</c:v>
                </c:pt>
                <c:pt idx="4">
                  <c:v>46</c:v>
                </c:pt>
                <c:pt idx="5">
                  <c:v>60.5</c:v>
                </c:pt>
                <c:pt idx="6">
                  <c:v>76.2</c:v>
                </c:pt>
                <c:pt idx="7">
                  <c:v>91.1</c:v>
                </c:pt>
              </c:numCache>
            </c:numRef>
          </c:xVal>
          <c:yVal>
            <c:numRef>
              <c:f>程式試驗!$L$4:$L$11</c:f>
              <c:numCache>
                <c:formatCode>General</c:formatCode>
                <c:ptCount val="8"/>
                <c:pt idx="0">
                  <c:v>0.45</c:v>
                </c:pt>
                <c:pt idx="1">
                  <c:v>0.51</c:v>
                </c:pt>
                <c:pt idx="2">
                  <c:v>0.52</c:v>
                </c:pt>
                <c:pt idx="3">
                  <c:v>0.62</c:v>
                </c:pt>
                <c:pt idx="4">
                  <c:v>0.71</c:v>
                </c:pt>
                <c:pt idx="5">
                  <c:v>0.75</c:v>
                </c:pt>
                <c:pt idx="6">
                  <c:v>0.71</c:v>
                </c:pt>
                <c:pt idx="7">
                  <c:v>0.79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79-42A5-8A64-23F80F114B1E}"/>
            </c:ext>
          </c:extLst>
        </c:ser>
        <c:ser>
          <c:idx val="1"/>
          <c:order val="6"/>
          <c:tx>
            <c:v>T100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程式試驗!$M$4:$M$11</c:f>
              <c:numCache>
                <c:formatCode>General</c:formatCode>
                <c:ptCount val="8"/>
                <c:pt idx="0">
                  <c:v>6.8</c:v>
                </c:pt>
                <c:pt idx="1">
                  <c:v>11.1</c:v>
                </c:pt>
                <c:pt idx="2">
                  <c:v>15.6</c:v>
                </c:pt>
                <c:pt idx="3">
                  <c:v>30.6</c:v>
                </c:pt>
                <c:pt idx="4">
                  <c:v>45.5</c:v>
                </c:pt>
                <c:pt idx="5">
                  <c:v>60.5</c:v>
                </c:pt>
                <c:pt idx="6">
                  <c:v>75.2</c:v>
                </c:pt>
                <c:pt idx="7">
                  <c:v>90.6</c:v>
                </c:pt>
              </c:numCache>
            </c:numRef>
          </c:xVal>
          <c:yVal>
            <c:numRef>
              <c:f>程式試驗!$N$4:$N$11</c:f>
              <c:numCache>
                <c:formatCode>General</c:formatCode>
                <c:ptCount val="8"/>
                <c:pt idx="0">
                  <c:v>0.97</c:v>
                </c:pt>
                <c:pt idx="1">
                  <c:v>1.1399999999999999</c:v>
                </c:pt>
                <c:pt idx="2">
                  <c:v>1.24</c:v>
                </c:pt>
                <c:pt idx="3">
                  <c:v>1.44</c:v>
                </c:pt>
                <c:pt idx="4">
                  <c:v>1.54</c:v>
                </c:pt>
                <c:pt idx="5">
                  <c:v>1.61</c:v>
                </c:pt>
                <c:pt idx="6">
                  <c:v>1.57</c:v>
                </c:pt>
                <c:pt idx="7">
                  <c:v>1.57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79-42A5-8A64-23F80F114B1E}"/>
            </c:ext>
          </c:extLst>
        </c:ser>
        <c:ser>
          <c:idx val="2"/>
          <c:order val="7"/>
          <c:tx>
            <c:v>T150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程式試驗!$O$4:$O$11</c:f>
              <c:numCache>
                <c:formatCode>General</c:formatCode>
                <c:ptCount val="8"/>
                <c:pt idx="0">
                  <c:v>5.5</c:v>
                </c:pt>
                <c:pt idx="1">
                  <c:v>10</c:v>
                </c:pt>
                <c:pt idx="2">
                  <c:v>15.6</c:v>
                </c:pt>
                <c:pt idx="3">
                  <c:v>30.1</c:v>
                </c:pt>
                <c:pt idx="4">
                  <c:v>44.4</c:v>
                </c:pt>
                <c:pt idx="5">
                  <c:v>59.8</c:v>
                </c:pt>
                <c:pt idx="6">
                  <c:v>74</c:v>
                </c:pt>
                <c:pt idx="7">
                  <c:v>89.5</c:v>
                </c:pt>
              </c:numCache>
            </c:numRef>
          </c:xVal>
          <c:yVal>
            <c:numRef>
              <c:f>程式試驗!$P$4:$P$11</c:f>
              <c:numCache>
                <c:formatCode>General</c:formatCode>
                <c:ptCount val="8"/>
                <c:pt idx="0">
                  <c:v>1.46</c:v>
                </c:pt>
                <c:pt idx="1">
                  <c:v>1.69</c:v>
                </c:pt>
                <c:pt idx="2">
                  <c:v>1.87</c:v>
                </c:pt>
                <c:pt idx="3">
                  <c:v>2.15</c:v>
                </c:pt>
                <c:pt idx="4">
                  <c:v>2.34</c:v>
                </c:pt>
                <c:pt idx="5">
                  <c:v>2.38</c:v>
                </c:pt>
                <c:pt idx="6">
                  <c:v>2.29</c:v>
                </c:pt>
                <c:pt idx="7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79-42A5-8A64-23F80F114B1E}"/>
            </c:ext>
          </c:extLst>
        </c:ser>
        <c:ser>
          <c:idx val="3"/>
          <c:order val="8"/>
          <c:tx>
            <c:v>T200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程式試驗!$Q$4:$Q$11</c:f>
              <c:numCache>
                <c:formatCode>General</c:formatCode>
                <c:ptCount val="8"/>
                <c:pt idx="0">
                  <c:v>6.1</c:v>
                </c:pt>
                <c:pt idx="1">
                  <c:v>11</c:v>
                </c:pt>
                <c:pt idx="2">
                  <c:v>15.2</c:v>
                </c:pt>
                <c:pt idx="3">
                  <c:v>29.7</c:v>
                </c:pt>
                <c:pt idx="4">
                  <c:v>44.5</c:v>
                </c:pt>
                <c:pt idx="5">
                  <c:v>59.2</c:v>
                </c:pt>
                <c:pt idx="6">
                  <c:v>74.900000000000006</c:v>
                </c:pt>
                <c:pt idx="7">
                  <c:v>90.1</c:v>
                </c:pt>
              </c:numCache>
            </c:numRef>
          </c:xVal>
          <c:yVal>
            <c:numRef>
              <c:f>程式試驗!$R$4:$R$11</c:f>
              <c:numCache>
                <c:formatCode>General</c:formatCode>
                <c:ptCount val="8"/>
                <c:pt idx="0">
                  <c:v>2.23</c:v>
                </c:pt>
                <c:pt idx="1">
                  <c:v>2.42</c:v>
                </c:pt>
                <c:pt idx="2">
                  <c:v>2.59</c:v>
                </c:pt>
                <c:pt idx="3">
                  <c:v>2.96</c:v>
                </c:pt>
                <c:pt idx="4">
                  <c:v>3.22</c:v>
                </c:pt>
                <c:pt idx="5">
                  <c:v>3.28</c:v>
                </c:pt>
                <c:pt idx="6">
                  <c:v>3.24</c:v>
                </c:pt>
                <c:pt idx="7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79-42A5-8A64-23F80F114B1E}"/>
            </c:ext>
          </c:extLst>
        </c:ser>
        <c:ser>
          <c:idx val="4"/>
          <c:order val="9"/>
          <c:tx>
            <c:v>T250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程式試驗!$S$4:$S$11</c:f>
              <c:numCache>
                <c:formatCode>General</c:formatCode>
                <c:ptCount val="8"/>
                <c:pt idx="0">
                  <c:v>6.1</c:v>
                </c:pt>
                <c:pt idx="1">
                  <c:v>10.4</c:v>
                </c:pt>
                <c:pt idx="2">
                  <c:v>14.1</c:v>
                </c:pt>
                <c:pt idx="3">
                  <c:v>29.2</c:v>
                </c:pt>
                <c:pt idx="4">
                  <c:v>45.2</c:v>
                </c:pt>
                <c:pt idx="5">
                  <c:v>60.1</c:v>
                </c:pt>
                <c:pt idx="6">
                  <c:v>75.400000000000006</c:v>
                </c:pt>
                <c:pt idx="7">
                  <c:v>90.1</c:v>
                </c:pt>
              </c:numCache>
            </c:numRef>
          </c:xVal>
          <c:yVal>
            <c:numRef>
              <c:f>程式試驗!$T$4:$T$11</c:f>
              <c:numCache>
                <c:formatCode>General</c:formatCode>
                <c:ptCount val="8"/>
                <c:pt idx="0">
                  <c:v>1.64</c:v>
                </c:pt>
                <c:pt idx="1">
                  <c:v>3.02</c:v>
                </c:pt>
                <c:pt idx="2">
                  <c:v>3.11</c:v>
                </c:pt>
                <c:pt idx="3">
                  <c:v>3.58</c:v>
                </c:pt>
                <c:pt idx="4">
                  <c:v>4.18</c:v>
                </c:pt>
                <c:pt idx="5">
                  <c:v>4.2300000000000004</c:v>
                </c:pt>
                <c:pt idx="6">
                  <c:v>4.1399999999999997</c:v>
                </c:pt>
                <c:pt idx="7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79-42A5-8A64-23F80F114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SPCC*2 Compare(F&amp;T)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F50</c:v>
          </c:tx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程式預測!$N$4:$N$11</c:f>
              <c:numCache>
                <c:formatCode>General</c:formatCode>
                <c:ptCount val="8"/>
                <c:pt idx="0">
                  <c:v>0.43</c:v>
                </c:pt>
                <c:pt idx="1">
                  <c:v>0.54</c:v>
                </c:pt>
                <c:pt idx="2">
                  <c:v>0.63</c:v>
                </c:pt>
                <c:pt idx="3">
                  <c:v>0.84</c:v>
                </c:pt>
                <c:pt idx="4">
                  <c:v>0.99</c:v>
                </c:pt>
                <c:pt idx="5">
                  <c:v>1.0900000000000001</c:v>
                </c:pt>
                <c:pt idx="6">
                  <c:v>1.1399999999999999</c:v>
                </c:pt>
                <c:pt idx="7">
                  <c:v>1.1399999999999999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18-4C9D-BFCB-B0055480AADE}"/>
            </c:ext>
          </c:extLst>
        </c:ser>
        <c:ser>
          <c:idx val="6"/>
          <c:order val="1"/>
          <c:tx>
            <c:v>F100</c:v>
          </c:tx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程式預測!$O$4:$O$11</c:f>
              <c:numCache>
                <c:formatCode>General</c:formatCode>
                <c:ptCount val="8"/>
                <c:pt idx="0">
                  <c:v>0.86</c:v>
                </c:pt>
                <c:pt idx="1">
                  <c:v>1.0900000000000001</c:v>
                </c:pt>
                <c:pt idx="2">
                  <c:v>1.26</c:v>
                </c:pt>
                <c:pt idx="3">
                  <c:v>1.67</c:v>
                </c:pt>
                <c:pt idx="4">
                  <c:v>1.98</c:v>
                </c:pt>
                <c:pt idx="5">
                  <c:v>2.1800000000000002</c:v>
                </c:pt>
                <c:pt idx="6">
                  <c:v>2.2799999999999998</c:v>
                </c:pt>
                <c:pt idx="7">
                  <c:v>2.2799999999999998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18-4C9D-BFCB-B0055480AADE}"/>
            </c:ext>
          </c:extLst>
        </c:ser>
        <c:ser>
          <c:idx val="7"/>
          <c:order val="2"/>
          <c:tx>
            <c:v>F150</c:v>
          </c:tx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程式預測!$P$4:$P$11</c:f>
              <c:numCache>
                <c:formatCode>General</c:formatCode>
                <c:ptCount val="8"/>
                <c:pt idx="0">
                  <c:v>1.29</c:v>
                </c:pt>
                <c:pt idx="1">
                  <c:v>1.63</c:v>
                </c:pt>
                <c:pt idx="2">
                  <c:v>1.89</c:v>
                </c:pt>
                <c:pt idx="3">
                  <c:v>2.5099999999999998</c:v>
                </c:pt>
                <c:pt idx="4">
                  <c:v>2.96</c:v>
                </c:pt>
                <c:pt idx="5">
                  <c:v>3.28</c:v>
                </c:pt>
                <c:pt idx="6">
                  <c:v>3.42</c:v>
                </c:pt>
                <c:pt idx="7">
                  <c:v>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18-4C9D-BFCB-B0055480AADE}"/>
            </c:ext>
          </c:extLst>
        </c:ser>
        <c:ser>
          <c:idx val="8"/>
          <c:order val="3"/>
          <c:tx>
            <c:v>F200</c:v>
          </c:tx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程式預測!$Q$4:$Q$11</c:f>
              <c:numCache>
                <c:formatCode>General</c:formatCode>
                <c:ptCount val="8"/>
                <c:pt idx="0">
                  <c:v>1.72</c:v>
                </c:pt>
                <c:pt idx="1">
                  <c:v>2.17</c:v>
                </c:pt>
                <c:pt idx="2">
                  <c:v>2.52</c:v>
                </c:pt>
                <c:pt idx="3">
                  <c:v>3.34</c:v>
                </c:pt>
                <c:pt idx="4">
                  <c:v>3.95</c:v>
                </c:pt>
                <c:pt idx="5">
                  <c:v>4.37</c:v>
                </c:pt>
                <c:pt idx="6">
                  <c:v>4.5599999999999996</c:v>
                </c:pt>
                <c:pt idx="7">
                  <c:v>4.57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18-4C9D-BFCB-B0055480AADE}"/>
            </c:ext>
          </c:extLst>
        </c:ser>
        <c:ser>
          <c:idx val="9"/>
          <c:order val="4"/>
          <c:tx>
            <c:v>F250</c:v>
          </c:tx>
          <c:xVal>
            <c:numRef>
              <c:f>程式預測!$M$4:$M$11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程式預測!$R$4:$R$11</c:f>
              <c:numCache>
                <c:formatCode>General</c:formatCode>
                <c:ptCount val="8"/>
                <c:pt idx="0">
                  <c:v>2.16</c:v>
                </c:pt>
                <c:pt idx="1">
                  <c:v>2.72</c:v>
                </c:pt>
                <c:pt idx="2">
                  <c:v>3.15</c:v>
                </c:pt>
                <c:pt idx="3">
                  <c:v>4.18</c:v>
                </c:pt>
                <c:pt idx="4">
                  <c:v>4.9400000000000004</c:v>
                </c:pt>
                <c:pt idx="5">
                  <c:v>5.46</c:v>
                </c:pt>
                <c:pt idx="6">
                  <c:v>5.71</c:v>
                </c:pt>
                <c:pt idx="7">
                  <c:v>5.71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18-4C9D-BFCB-B0055480AADE}"/>
            </c:ext>
          </c:extLst>
        </c:ser>
        <c:ser>
          <c:idx val="0"/>
          <c:order val="5"/>
          <c:tx>
            <c:v>T50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程式試驗!$U$4:$U$11</c:f>
              <c:numCache>
                <c:formatCode>General</c:formatCode>
                <c:ptCount val="8"/>
                <c:pt idx="0">
                  <c:v>5.5</c:v>
                </c:pt>
                <c:pt idx="1">
                  <c:v>7.5</c:v>
                </c:pt>
                <c:pt idx="2">
                  <c:v>14.5</c:v>
                </c:pt>
                <c:pt idx="3">
                  <c:v>24</c:v>
                </c:pt>
                <c:pt idx="4">
                  <c:v>44.5</c:v>
                </c:pt>
                <c:pt idx="5">
                  <c:v>66.5</c:v>
                </c:pt>
                <c:pt idx="6">
                  <c:v>85</c:v>
                </c:pt>
                <c:pt idx="7">
                  <c:v>90.3</c:v>
                </c:pt>
              </c:numCache>
            </c:numRef>
          </c:xVal>
          <c:yVal>
            <c:numRef>
              <c:f>程式試驗!$V$4:$V$11</c:f>
              <c:numCache>
                <c:formatCode>General</c:formatCode>
                <c:ptCount val="8"/>
                <c:pt idx="0">
                  <c:v>0.37</c:v>
                </c:pt>
                <c:pt idx="1">
                  <c:v>0.54</c:v>
                </c:pt>
                <c:pt idx="2">
                  <c:v>0.64</c:v>
                </c:pt>
                <c:pt idx="3">
                  <c:v>0.84</c:v>
                </c:pt>
                <c:pt idx="4">
                  <c:v>1.01</c:v>
                </c:pt>
                <c:pt idx="5">
                  <c:v>1.0900000000000001</c:v>
                </c:pt>
                <c:pt idx="6">
                  <c:v>1.1399999999999999</c:v>
                </c:pt>
                <c:pt idx="7">
                  <c:v>1.24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18-4C9D-BFCB-B0055480AADE}"/>
            </c:ext>
          </c:extLst>
        </c:ser>
        <c:ser>
          <c:idx val="1"/>
          <c:order val="6"/>
          <c:tx>
            <c:v>T100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程式試驗!$W$4:$W$11</c:f>
              <c:numCache>
                <c:formatCode>General</c:formatCode>
                <c:ptCount val="8"/>
                <c:pt idx="0">
                  <c:v>4.8</c:v>
                </c:pt>
                <c:pt idx="1">
                  <c:v>9</c:v>
                </c:pt>
                <c:pt idx="2">
                  <c:v>10.5</c:v>
                </c:pt>
                <c:pt idx="3">
                  <c:v>27.5</c:v>
                </c:pt>
                <c:pt idx="4">
                  <c:v>46.8</c:v>
                </c:pt>
                <c:pt idx="5">
                  <c:v>64.2</c:v>
                </c:pt>
                <c:pt idx="6">
                  <c:v>89.5</c:v>
                </c:pt>
                <c:pt idx="7">
                  <c:v>90.1</c:v>
                </c:pt>
              </c:numCache>
            </c:numRef>
          </c:xVal>
          <c:yVal>
            <c:numRef>
              <c:f>程式試驗!$X$4:$X$11</c:f>
              <c:numCache>
                <c:formatCode>General</c:formatCode>
                <c:ptCount val="8"/>
                <c:pt idx="0">
                  <c:v>1.01</c:v>
                </c:pt>
                <c:pt idx="1">
                  <c:v>1.0900000000000001</c:v>
                </c:pt>
                <c:pt idx="2">
                  <c:v>1.26</c:v>
                </c:pt>
                <c:pt idx="3">
                  <c:v>1.69</c:v>
                </c:pt>
                <c:pt idx="4">
                  <c:v>2.02</c:v>
                </c:pt>
                <c:pt idx="5">
                  <c:v>2.17</c:v>
                </c:pt>
                <c:pt idx="6">
                  <c:v>2.25</c:v>
                </c:pt>
                <c:pt idx="7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18-4C9D-BFCB-B0055480AADE}"/>
            </c:ext>
          </c:extLst>
        </c:ser>
        <c:ser>
          <c:idx val="2"/>
          <c:order val="7"/>
          <c:tx>
            <c:v>T150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程式試驗!$Y$4:$Y$10</c:f>
              <c:numCache>
                <c:formatCode>General</c:formatCode>
                <c:ptCount val="7"/>
                <c:pt idx="0">
                  <c:v>3.7</c:v>
                </c:pt>
                <c:pt idx="1">
                  <c:v>10.9</c:v>
                </c:pt>
                <c:pt idx="2">
                  <c:v>12.8</c:v>
                </c:pt>
                <c:pt idx="3">
                  <c:v>26.9</c:v>
                </c:pt>
                <c:pt idx="4">
                  <c:v>46</c:v>
                </c:pt>
                <c:pt idx="5">
                  <c:v>73</c:v>
                </c:pt>
                <c:pt idx="6">
                  <c:v>90.4</c:v>
                </c:pt>
              </c:numCache>
            </c:numRef>
          </c:xVal>
          <c:yVal>
            <c:numRef>
              <c:f>程式試驗!$Z$4:$Z$10</c:f>
              <c:numCache>
                <c:formatCode>General</c:formatCode>
                <c:ptCount val="7"/>
                <c:pt idx="0">
                  <c:v>1.41</c:v>
                </c:pt>
                <c:pt idx="1">
                  <c:v>1.93</c:v>
                </c:pt>
                <c:pt idx="2">
                  <c:v>2.1</c:v>
                </c:pt>
                <c:pt idx="3">
                  <c:v>2.52</c:v>
                </c:pt>
                <c:pt idx="4">
                  <c:v>3</c:v>
                </c:pt>
                <c:pt idx="5">
                  <c:v>3.3</c:v>
                </c:pt>
                <c:pt idx="6">
                  <c:v>3.47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18-4C9D-BFCB-B0055480AADE}"/>
            </c:ext>
          </c:extLst>
        </c:ser>
        <c:ser>
          <c:idx val="3"/>
          <c:order val="8"/>
          <c:tx>
            <c:v>T200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程式試驗!$AA$4:$AA$10</c:f>
              <c:numCache>
                <c:formatCode>General</c:formatCode>
                <c:ptCount val="7"/>
                <c:pt idx="0">
                  <c:v>6.9</c:v>
                </c:pt>
                <c:pt idx="1">
                  <c:v>11.7</c:v>
                </c:pt>
                <c:pt idx="2">
                  <c:v>13.2</c:v>
                </c:pt>
                <c:pt idx="3">
                  <c:v>31</c:v>
                </c:pt>
                <c:pt idx="4">
                  <c:v>43.6</c:v>
                </c:pt>
                <c:pt idx="5">
                  <c:v>63.6</c:v>
                </c:pt>
                <c:pt idx="6">
                  <c:v>91</c:v>
                </c:pt>
              </c:numCache>
            </c:numRef>
          </c:xVal>
          <c:yVal>
            <c:numRef>
              <c:f>程式試驗!$AB$4:$AB$10</c:f>
              <c:numCache>
                <c:formatCode>General</c:formatCode>
                <c:ptCount val="7"/>
                <c:pt idx="0">
                  <c:v>2.02</c:v>
                </c:pt>
                <c:pt idx="1">
                  <c:v>2.19</c:v>
                </c:pt>
                <c:pt idx="2">
                  <c:v>2.66</c:v>
                </c:pt>
                <c:pt idx="3">
                  <c:v>3.34</c:v>
                </c:pt>
                <c:pt idx="4">
                  <c:v>3.97</c:v>
                </c:pt>
                <c:pt idx="5">
                  <c:v>4.3499999999999996</c:v>
                </c:pt>
                <c:pt idx="6">
                  <c:v>4.71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A18-4C9D-BFCB-B0055480AADE}"/>
            </c:ext>
          </c:extLst>
        </c:ser>
        <c:ser>
          <c:idx val="4"/>
          <c:order val="9"/>
          <c:tx>
            <c:v>T250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程式試驗!$AC$4:$AC$10</c:f>
              <c:numCache>
                <c:formatCode>General</c:formatCode>
                <c:ptCount val="7"/>
                <c:pt idx="0">
                  <c:v>7.3</c:v>
                </c:pt>
                <c:pt idx="1">
                  <c:v>10.9</c:v>
                </c:pt>
                <c:pt idx="2">
                  <c:v>12.1</c:v>
                </c:pt>
                <c:pt idx="3">
                  <c:v>27.5</c:v>
                </c:pt>
                <c:pt idx="4">
                  <c:v>46.1</c:v>
                </c:pt>
                <c:pt idx="5">
                  <c:v>69.400000000000006</c:v>
                </c:pt>
                <c:pt idx="6">
                  <c:v>90</c:v>
                </c:pt>
              </c:numCache>
            </c:numRef>
          </c:xVal>
          <c:yVal>
            <c:numRef>
              <c:f>程式試驗!$AD$4:$AD$10</c:f>
              <c:numCache>
                <c:formatCode>General</c:formatCode>
                <c:ptCount val="7"/>
                <c:pt idx="0">
                  <c:v>2.25</c:v>
                </c:pt>
                <c:pt idx="1">
                  <c:v>3.1</c:v>
                </c:pt>
                <c:pt idx="2">
                  <c:v>3.2</c:v>
                </c:pt>
                <c:pt idx="3">
                  <c:v>4.2</c:v>
                </c:pt>
                <c:pt idx="4">
                  <c:v>4.95</c:v>
                </c:pt>
                <c:pt idx="5">
                  <c:v>5.46</c:v>
                </c:pt>
                <c:pt idx="6">
                  <c:v>5.85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A18-4C9D-BFCB-B0055480A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*2 Compare(F&amp;T)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F50</c:v>
          </c:tx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程式預測!$N$14:$N$21</c:f>
              <c:numCache>
                <c:formatCode>General</c:formatCode>
                <c:ptCount val="8"/>
                <c:pt idx="0">
                  <c:v>0.48</c:v>
                </c:pt>
                <c:pt idx="1">
                  <c:v>0.64</c:v>
                </c:pt>
                <c:pt idx="2">
                  <c:v>0.76</c:v>
                </c:pt>
                <c:pt idx="3">
                  <c:v>1.06</c:v>
                </c:pt>
                <c:pt idx="4">
                  <c:v>1.3</c:v>
                </c:pt>
                <c:pt idx="5">
                  <c:v>1.47</c:v>
                </c:pt>
                <c:pt idx="6">
                  <c:v>1.56</c:v>
                </c:pt>
                <c:pt idx="7">
                  <c:v>1.59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608-44B6-B252-9162971E8B82}"/>
            </c:ext>
          </c:extLst>
        </c:ser>
        <c:ser>
          <c:idx val="6"/>
          <c:order val="1"/>
          <c:tx>
            <c:v>F100</c:v>
          </c:tx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程式預測!$O$14:$O$21</c:f>
              <c:numCache>
                <c:formatCode>General</c:formatCode>
                <c:ptCount val="8"/>
                <c:pt idx="0">
                  <c:v>0.97</c:v>
                </c:pt>
                <c:pt idx="1">
                  <c:v>1.27</c:v>
                </c:pt>
                <c:pt idx="2">
                  <c:v>1.52</c:v>
                </c:pt>
                <c:pt idx="3">
                  <c:v>2.12</c:v>
                </c:pt>
                <c:pt idx="4">
                  <c:v>2.59</c:v>
                </c:pt>
                <c:pt idx="5">
                  <c:v>2.94</c:v>
                </c:pt>
                <c:pt idx="6">
                  <c:v>3.13</c:v>
                </c:pt>
                <c:pt idx="7">
                  <c:v>3.18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608-44B6-B252-9162971E8B82}"/>
            </c:ext>
          </c:extLst>
        </c:ser>
        <c:ser>
          <c:idx val="7"/>
          <c:order val="2"/>
          <c:tx>
            <c:v>F150</c:v>
          </c:tx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程式預測!$P$14:$P$21</c:f>
              <c:numCache>
                <c:formatCode>General</c:formatCode>
                <c:ptCount val="8"/>
                <c:pt idx="0">
                  <c:v>1.54</c:v>
                </c:pt>
                <c:pt idx="1">
                  <c:v>1.91</c:v>
                </c:pt>
                <c:pt idx="2">
                  <c:v>2.2799999999999998</c:v>
                </c:pt>
                <c:pt idx="3">
                  <c:v>3.18</c:v>
                </c:pt>
                <c:pt idx="4">
                  <c:v>3.89</c:v>
                </c:pt>
                <c:pt idx="5">
                  <c:v>4.4000000000000004</c:v>
                </c:pt>
                <c:pt idx="6">
                  <c:v>4.6900000000000004</c:v>
                </c:pt>
                <c:pt idx="7">
                  <c:v>4.7699999999999996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608-44B6-B252-9162971E8B82}"/>
            </c:ext>
          </c:extLst>
        </c:ser>
        <c:ser>
          <c:idx val="8"/>
          <c:order val="3"/>
          <c:tx>
            <c:v>F200</c:v>
          </c:tx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程式預測!$Q$14:$Q$21</c:f>
              <c:numCache>
                <c:formatCode>General</c:formatCode>
                <c:ptCount val="8"/>
                <c:pt idx="0">
                  <c:v>1.93</c:v>
                </c:pt>
                <c:pt idx="1">
                  <c:v>2.5499999999999998</c:v>
                </c:pt>
                <c:pt idx="2">
                  <c:v>3.04</c:v>
                </c:pt>
                <c:pt idx="3">
                  <c:v>4.24</c:v>
                </c:pt>
                <c:pt idx="4">
                  <c:v>5.18</c:v>
                </c:pt>
                <c:pt idx="5">
                  <c:v>5.87</c:v>
                </c:pt>
                <c:pt idx="6">
                  <c:v>6.25</c:v>
                </c:pt>
                <c:pt idx="7">
                  <c:v>6.36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608-44B6-B252-9162971E8B82}"/>
            </c:ext>
          </c:extLst>
        </c:ser>
        <c:ser>
          <c:idx val="9"/>
          <c:order val="4"/>
          <c:tx>
            <c:v>F250</c:v>
          </c:tx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程式預測!$R$14:$R$21</c:f>
              <c:numCache>
                <c:formatCode>General</c:formatCode>
                <c:ptCount val="8"/>
                <c:pt idx="0">
                  <c:v>2.42</c:v>
                </c:pt>
                <c:pt idx="1">
                  <c:v>3.18</c:v>
                </c:pt>
                <c:pt idx="2">
                  <c:v>3.8</c:v>
                </c:pt>
                <c:pt idx="3">
                  <c:v>5.3</c:v>
                </c:pt>
                <c:pt idx="4">
                  <c:v>6.48</c:v>
                </c:pt>
                <c:pt idx="5">
                  <c:v>7.34</c:v>
                </c:pt>
                <c:pt idx="6">
                  <c:v>7.82</c:v>
                </c:pt>
                <c:pt idx="7">
                  <c:v>7.94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608-44B6-B252-9162971E8B82}"/>
            </c:ext>
          </c:extLst>
        </c:ser>
        <c:ser>
          <c:idx val="0"/>
          <c:order val="5"/>
          <c:tx>
            <c:v>T50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程式試驗!$U$14:$U$21</c:f>
              <c:numCache>
                <c:formatCode>General</c:formatCode>
                <c:ptCount val="8"/>
                <c:pt idx="0">
                  <c:v>6.7</c:v>
                </c:pt>
                <c:pt idx="1">
                  <c:v>6.1</c:v>
                </c:pt>
                <c:pt idx="2">
                  <c:v>7.7</c:v>
                </c:pt>
                <c:pt idx="3">
                  <c:v>15</c:v>
                </c:pt>
                <c:pt idx="4">
                  <c:v>25.4</c:v>
                </c:pt>
                <c:pt idx="5">
                  <c:v>60</c:v>
                </c:pt>
                <c:pt idx="6">
                  <c:v>60.3</c:v>
                </c:pt>
                <c:pt idx="7">
                  <c:v>60.3</c:v>
                </c:pt>
              </c:numCache>
            </c:numRef>
          </c:xVal>
          <c:yVal>
            <c:numRef>
              <c:f>程式試驗!$V$14:$V$21</c:f>
              <c:numCache>
                <c:formatCode>General</c:formatCode>
                <c:ptCount val="8"/>
                <c:pt idx="0">
                  <c:v>0.84</c:v>
                </c:pt>
                <c:pt idx="1">
                  <c:v>0.81</c:v>
                </c:pt>
                <c:pt idx="2">
                  <c:v>0.92</c:v>
                </c:pt>
                <c:pt idx="3">
                  <c:v>1.07</c:v>
                </c:pt>
                <c:pt idx="4">
                  <c:v>1.31</c:v>
                </c:pt>
                <c:pt idx="5">
                  <c:v>1.54</c:v>
                </c:pt>
                <c:pt idx="6">
                  <c:v>1.59</c:v>
                </c:pt>
                <c:pt idx="7">
                  <c:v>1.59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08-44B6-B252-9162971E8B82}"/>
            </c:ext>
          </c:extLst>
        </c:ser>
        <c:ser>
          <c:idx val="1"/>
          <c:order val="6"/>
          <c:tx>
            <c:v>T100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程式試驗!$W$14:$W$21</c:f>
              <c:numCache>
                <c:formatCode>General</c:formatCode>
                <c:ptCount val="8"/>
                <c:pt idx="0">
                  <c:v>5.6</c:v>
                </c:pt>
                <c:pt idx="1">
                  <c:v>5.3</c:v>
                </c:pt>
                <c:pt idx="2">
                  <c:v>5.9</c:v>
                </c:pt>
                <c:pt idx="3">
                  <c:v>15.6</c:v>
                </c:pt>
                <c:pt idx="4">
                  <c:v>27.3</c:v>
                </c:pt>
                <c:pt idx="5">
                  <c:v>43.2</c:v>
                </c:pt>
                <c:pt idx="6">
                  <c:v>50.1</c:v>
                </c:pt>
                <c:pt idx="7">
                  <c:v>58.1</c:v>
                </c:pt>
              </c:numCache>
            </c:numRef>
          </c:xVal>
          <c:yVal>
            <c:numRef>
              <c:f>程式試驗!$X$14:$X$21</c:f>
              <c:numCache>
                <c:formatCode>General</c:formatCode>
                <c:ptCount val="8"/>
                <c:pt idx="0">
                  <c:v>1.42</c:v>
                </c:pt>
                <c:pt idx="1">
                  <c:v>1.41</c:v>
                </c:pt>
                <c:pt idx="2">
                  <c:v>1.59</c:v>
                </c:pt>
                <c:pt idx="3">
                  <c:v>2.14</c:v>
                </c:pt>
                <c:pt idx="4">
                  <c:v>2.59</c:v>
                </c:pt>
                <c:pt idx="5">
                  <c:v>3.04</c:v>
                </c:pt>
                <c:pt idx="6">
                  <c:v>3.17</c:v>
                </c:pt>
                <c:pt idx="7">
                  <c:v>3.34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08-44B6-B252-9162971E8B82}"/>
            </c:ext>
          </c:extLst>
        </c:ser>
        <c:ser>
          <c:idx val="2"/>
          <c:order val="7"/>
          <c:tx>
            <c:v>T150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程式試驗!$Y$14:$Y$21</c:f>
              <c:numCache>
                <c:formatCode>General</c:formatCode>
                <c:ptCount val="8"/>
                <c:pt idx="0">
                  <c:v>6.1</c:v>
                </c:pt>
                <c:pt idx="1">
                  <c:v>6.1</c:v>
                </c:pt>
                <c:pt idx="2">
                  <c:v>6.2</c:v>
                </c:pt>
                <c:pt idx="3">
                  <c:v>15.9</c:v>
                </c:pt>
                <c:pt idx="4">
                  <c:v>28.6</c:v>
                </c:pt>
                <c:pt idx="5">
                  <c:v>40.1</c:v>
                </c:pt>
                <c:pt idx="6">
                  <c:v>48.2</c:v>
                </c:pt>
                <c:pt idx="7">
                  <c:v>56.1</c:v>
                </c:pt>
              </c:numCache>
            </c:numRef>
          </c:xVal>
          <c:yVal>
            <c:numRef>
              <c:f>程式試驗!$Z$14:$Z$21</c:f>
              <c:numCache>
                <c:formatCode>General</c:formatCode>
                <c:ptCount val="8"/>
                <c:pt idx="0">
                  <c:v>2.2799999999999998</c:v>
                </c:pt>
                <c:pt idx="1">
                  <c:v>2.29</c:v>
                </c:pt>
                <c:pt idx="2">
                  <c:v>2.2999999999999998</c:v>
                </c:pt>
                <c:pt idx="3">
                  <c:v>3.24</c:v>
                </c:pt>
                <c:pt idx="4">
                  <c:v>3.93</c:v>
                </c:pt>
                <c:pt idx="5">
                  <c:v>4.5199999999999996</c:v>
                </c:pt>
                <c:pt idx="6">
                  <c:v>4.74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08-44B6-B252-9162971E8B82}"/>
            </c:ext>
          </c:extLst>
        </c:ser>
        <c:ser>
          <c:idx val="3"/>
          <c:order val="8"/>
          <c:tx>
            <c:v>T200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程式試驗!$AA$14:$AA$21</c:f>
              <c:numCache>
                <c:formatCode>General</c:formatCode>
                <c:ptCount val="8"/>
                <c:pt idx="0">
                  <c:v>5.4</c:v>
                </c:pt>
                <c:pt idx="1">
                  <c:v>5.9</c:v>
                </c:pt>
                <c:pt idx="2">
                  <c:v>5.8</c:v>
                </c:pt>
                <c:pt idx="3">
                  <c:v>21.2</c:v>
                </c:pt>
                <c:pt idx="4">
                  <c:v>26.8</c:v>
                </c:pt>
                <c:pt idx="5">
                  <c:v>39.700000000000003</c:v>
                </c:pt>
                <c:pt idx="6">
                  <c:v>46.8</c:v>
                </c:pt>
                <c:pt idx="7">
                  <c:v>48.3</c:v>
                </c:pt>
              </c:numCache>
            </c:numRef>
          </c:xVal>
          <c:yVal>
            <c:numRef>
              <c:f>程式試驗!$AB$14:$AB$21</c:f>
              <c:numCache>
                <c:formatCode>General</c:formatCode>
                <c:ptCount val="8"/>
                <c:pt idx="0">
                  <c:v>2.96</c:v>
                </c:pt>
                <c:pt idx="1">
                  <c:v>3.04</c:v>
                </c:pt>
                <c:pt idx="2">
                  <c:v>3.05</c:v>
                </c:pt>
                <c:pt idx="3">
                  <c:v>4.3099999999999996</c:v>
                </c:pt>
                <c:pt idx="4">
                  <c:v>5.25</c:v>
                </c:pt>
                <c:pt idx="5">
                  <c:v>5.94</c:v>
                </c:pt>
                <c:pt idx="6">
                  <c:v>6.31</c:v>
                </c:pt>
                <c:pt idx="7">
                  <c:v>6.45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608-44B6-B252-9162971E8B82}"/>
            </c:ext>
          </c:extLst>
        </c:ser>
        <c:ser>
          <c:idx val="4"/>
          <c:order val="9"/>
          <c:tx>
            <c:v>T250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程式試驗!$AC$14:$AC$21</c:f>
              <c:numCache>
                <c:formatCode>General</c:formatCode>
                <c:ptCount val="8"/>
                <c:pt idx="0">
                  <c:v>4.2</c:v>
                </c:pt>
                <c:pt idx="1">
                  <c:v>5.4</c:v>
                </c:pt>
                <c:pt idx="2">
                  <c:v>4.9000000000000004</c:v>
                </c:pt>
                <c:pt idx="3">
                  <c:v>13.9</c:v>
                </c:pt>
                <c:pt idx="4">
                  <c:v>25.7</c:v>
                </c:pt>
                <c:pt idx="5">
                  <c:v>37.9</c:v>
                </c:pt>
                <c:pt idx="6">
                  <c:v>47.2</c:v>
                </c:pt>
                <c:pt idx="7">
                  <c:v>50.4</c:v>
                </c:pt>
              </c:numCache>
            </c:numRef>
          </c:xVal>
          <c:yVal>
            <c:numRef>
              <c:f>程式試驗!$AD$14:$AD$21</c:f>
              <c:numCache>
                <c:formatCode>General</c:formatCode>
                <c:ptCount val="8"/>
                <c:pt idx="0">
                  <c:v>3.73</c:v>
                </c:pt>
                <c:pt idx="1">
                  <c:v>4.05</c:v>
                </c:pt>
                <c:pt idx="2">
                  <c:v>3.92</c:v>
                </c:pt>
                <c:pt idx="3">
                  <c:v>5.41</c:v>
                </c:pt>
                <c:pt idx="4">
                  <c:v>6.48</c:v>
                </c:pt>
                <c:pt idx="5">
                  <c:v>7.44</c:v>
                </c:pt>
                <c:pt idx="6">
                  <c:v>8.02</c:v>
                </c:pt>
                <c:pt idx="7">
                  <c:v>8.43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608-44B6-B252-9162971E8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不撕</a:t>
            </a:r>
            <a:r>
              <a:rPr lang="en-US" altLang="zh-TW"/>
              <a:t>*1 Compare(F&amp;T)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F50</c:v>
          </c:tx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程式預測!$B$14:$B$21</c:f>
              <c:numCache>
                <c:formatCode>General</c:formatCode>
                <c:ptCount val="8"/>
                <c:pt idx="0">
                  <c:v>0.18</c:v>
                </c:pt>
                <c:pt idx="1">
                  <c:v>0.24</c:v>
                </c:pt>
                <c:pt idx="2">
                  <c:v>0.28999999999999998</c:v>
                </c:pt>
                <c:pt idx="3">
                  <c:v>0.4</c:v>
                </c:pt>
                <c:pt idx="4">
                  <c:v>0.49</c:v>
                </c:pt>
                <c:pt idx="5">
                  <c:v>0.56000000000000005</c:v>
                </c:pt>
                <c:pt idx="6">
                  <c:v>0.61</c:v>
                </c:pt>
                <c:pt idx="7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14C-4360-B781-5E2958532D56}"/>
            </c:ext>
          </c:extLst>
        </c:ser>
        <c:ser>
          <c:idx val="6"/>
          <c:order val="1"/>
          <c:tx>
            <c:v>F100</c:v>
          </c:tx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程式預測!$C$14:$C$21</c:f>
              <c:numCache>
                <c:formatCode>General</c:formatCode>
                <c:ptCount val="8"/>
                <c:pt idx="0">
                  <c:v>0.36</c:v>
                </c:pt>
                <c:pt idx="1">
                  <c:v>0.48</c:v>
                </c:pt>
                <c:pt idx="2">
                  <c:v>0.56999999999999995</c:v>
                </c:pt>
                <c:pt idx="3">
                  <c:v>0.8</c:v>
                </c:pt>
                <c:pt idx="4">
                  <c:v>0.99</c:v>
                </c:pt>
                <c:pt idx="5">
                  <c:v>1.1299999999999999</c:v>
                </c:pt>
                <c:pt idx="6">
                  <c:v>1.21</c:v>
                </c:pt>
                <c:pt idx="7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4C-4360-B781-5E2958532D56}"/>
            </c:ext>
          </c:extLst>
        </c:ser>
        <c:ser>
          <c:idx val="7"/>
          <c:order val="2"/>
          <c:tx>
            <c:v>F150</c:v>
          </c:tx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程式預測!$D$14:$D$21</c:f>
              <c:numCache>
                <c:formatCode>General</c:formatCode>
                <c:ptCount val="8"/>
                <c:pt idx="0">
                  <c:v>0.54</c:v>
                </c:pt>
                <c:pt idx="1">
                  <c:v>0.72</c:v>
                </c:pt>
                <c:pt idx="2">
                  <c:v>0.86</c:v>
                </c:pt>
                <c:pt idx="3">
                  <c:v>1.2</c:v>
                </c:pt>
                <c:pt idx="4">
                  <c:v>1.48</c:v>
                </c:pt>
                <c:pt idx="5">
                  <c:v>1.69</c:v>
                </c:pt>
                <c:pt idx="6">
                  <c:v>1.82</c:v>
                </c:pt>
                <c:pt idx="7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14C-4360-B781-5E2958532D56}"/>
            </c:ext>
          </c:extLst>
        </c:ser>
        <c:ser>
          <c:idx val="8"/>
          <c:order val="3"/>
          <c:tx>
            <c:v>F200</c:v>
          </c:tx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程式預測!$E$14:$E$21</c:f>
              <c:numCache>
                <c:formatCode>General</c:formatCode>
                <c:ptCount val="8"/>
                <c:pt idx="0">
                  <c:v>0.73</c:v>
                </c:pt>
                <c:pt idx="1">
                  <c:v>0.95</c:v>
                </c:pt>
                <c:pt idx="2">
                  <c:v>1.1399999999999999</c:v>
                </c:pt>
                <c:pt idx="3">
                  <c:v>1.6</c:v>
                </c:pt>
                <c:pt idx="4">
                  <c:v>1.97</c:v>
                </c:pt>
                <c:pt idx="5">
                  <c:v>2.2599999999999998</c:v>
                </c:pt>
                <c:pt idx="6">
                  <c:v>2.4300000000000002</c:v>
                </c:pt>
                <c:pt idx="7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14C-4360-B781-5E2958532D56}"/>
            </c:ext>
          </c:extLst>
        </c:ser>
        <c:ser>
          <c:idx val="9"/>
          <c:order val="4"/>
          <c:tx>
            <c:v>F250</c:v>
          </c:tx>
          <c:xVal>
            <c:numRef>
              <c:f>程式預測!$A$14:$A$21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程式預測!$F$14:$F$21</c:f>
              <c:numCache>
                <c:formatCode>General</c:formatCode>
                <c:ptCount val="8"/>
                <c:pt idx="0">
                  <c:v>0.91</c:v>
                </c:pt>
                <c:pt idx="1">
                  <c:v>1.19</c:v>
                </c:pt>
                <c:pt idx="2">
                  <c:v>1.43</c:v>
                </c:pt>
                <c:pt idx="3">
                  <c:v>2</c:v>
                </c:pt>
                <c:pt idx="4">
                  <c:v>2.4700000000000002</c:v>
                </c:pt>
                <c:pt idx="5">
                  <c:v>2.82</c:v>
                </c:pt>
                <c:pt idx="6">
                  <c:v>3.03</c:v>
                </c:pt>
                <c:pt idx="7">
                  <c:v>3.12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14C-4360-B781-5E2958532D56}"/>
            </c:ext>
          </c:extLst>
        </c:ser>
        <c:ser>
          <c:idx val="0"/>
          <c:order val="5"/>
          <c:tx>
            <c:v>T50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程式試驗!$A$24:$A$31</c:f>
              <c:numCache>
                <c:formatCode>General</c:formatCode>
                <c:ptCount val="8"/>
                <c:pt idx="0">
                  <c:v>10</c:v>
                </c:pt>
                <c:pt idx="1">
                  <c:v>14.5</c:v>
                </c:pt>
                <c:pt idx="2">
                  <c:v>19.3</c:v>
                </c:pt>
                <c:pt idx="3">
                  <c:v>36.299999999999997</c:v>
                </c:pt>
                <c:pt idx="4">
                  <c:v>51.2</c:v>
                </c:pt>
                <c:pt idx="5">
                  <c:v>64.900000000000006</c:v>
                </c:pt>
                <c:pt idx="6">
                  <c:v>83.6</c:v>
                </c:pt>
                <c:pt idx="7">
                  <c:v>93.8</c:v>
                </c:pt>
              </c:numCache>
            </c:numRef>
          </c:xVal>
          <c:yVal>
            <c:numRef>
              <c:f>程式試驗!$B$24:$B$31</c:f>
              <c:numCache>
                <c:formatCode>General</c:formatCode>
                <c:ptCount val="8"/>
                <c:pt idx="0">
                  <c:v>0.18</c:v>
                </c:pt>
                <c:pt idx="1">
                  <c:v>0.24</c:v>
                </c:pt>
                <c:pt idx="2">
                  <c:v>0.28000000000000003</c:v>
                </c:pt>
                <c:pt idx="3">
                  <c:v>0.4</c:v>
                </c:pt>
                <c:pt idx="4">
                  <c:v>0.49</c:v>
                </c:pt>
                <c:pt idx="5">
                  <c:v>0.56000000000000005</c:v>
                </c:pt>
                <c:pt idx="6">
                  <c:v>0.61</c:v>
                </c:pt>
                <c:pt idx="7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4C-4360-B781-5E2958532D56}"/>
            </c:ext>
          </c:extLst>
        </c:ser>
        <c:ser>
          <c:idx val="1"/>
          <c:order val="6"/>
          <c:tx>
            <c:v>T100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程式試驗!$C$24:$C$31</c:f>
              <c:numCache>
                <c:formatCode>General</c:formatCode>
                <c:ptCount val="8"/>
                <c:pt idx="0">
                  <c:v>9.5</c:v>
                </c:pt>
                <c:pt idx="1">
                  <c:v>14.1</c:v>
                </c:pt>
                <c:pt idx="2">
                  <c:v>18.899999999999999</c:v>
                </c:pt>
                <c:pt idx="3">
                  <c:v>33.1</c:v>
                </c:pt>
                <c:pt idx="4">
                  <c:v>54.9</c:v>
                </c:pt>
                <c:pt idx="5">
                  <c:v>64.599999999999994</c:v>
                </c:pt>
                <c:pt idx="6">
                  <c:v>78.900000000000006</c:v>
                </c:pt>
                <c:pt idx="7">
                  <c:v>92.8</c:v>
                </c:pt>
              </c:numCache>
            </c:numRef>
          </c:xVal>
          <c:yVal>
            <c:numRef>
              <c:f>程式試驗!$D$24:$D$31</c:f>
              <c:numCache>
                <c:formatCode>General</c:formatCode>
                <c:ptCount val="8"/>
                <c:pt idx="0">
                  <c:v>0.51</c:v>
                </c:pt>
                <c:pt idx="1">
                  <c:v>0.56000000000000005</c:v>
                </c:pt>
                <c:pt idx="2">
                  <c:v>0.62</c:v>
                </c:pt>
                <c:pt idx="3">
                  <c:v>0.81</c:v>
                </c:pt>
                <c:pt idx="4">
                  <c:v>0.97</c:v>
                </c:pt>
                <c:pt idx="5">
                  <c:v>1.1200000000000001</c:v>
                </c:pt>
                <c:pt idx="6">
                  <c:v>1.2</c:v>
                </c:pt>
                <c:pt idx="7">
                  <c:v>2.0299999999999998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14C-4360-B781-5E2958532D56}"/>
            </c:ext>
          </c:extLst>
        </c:ser>
        <c:ser>
          <c:idx val="2"/>
          <c:order val="7"/>
          <c:tx>
            <c:v>T150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程式試驗!$E$24:$E$31</c:f>
              <c:numCache>
                <c:formatCode>General</c:formatCode>
                <c:ptCount val="8"/>
                <c:pt idx="0">
                  <c:v>9.4</c:v>
                </c:pt>
                <c:pt idx="1">
                  <c:v>13.9</c:v>
                </c:pt>
                <c:pt idx="2">
                  <c:v>18.7</c:v>
                </c:pt>
                <c:pt idx="3">
                  <c:v>33.5</c:v>
                </c:pt>
                <c:pt idx="4">
                  <c:v>47.2</c:v>
                </c:pt>
                <c:pt idx="5">
                  <c:v>53.6</c:v>
                </c:pt>
                <c:pt idx="6">
                  <c:v>78.2</c:v>
                </c:pt>
                <c:pt idx="7">
                  <c:v>92.8</c:v>
                </c:pt>
              </c:numCache>
            </c:numRef>
          </c:xVal>
          <c:yVal>
            <c:numRef>
              <c:f>程式試驗!$F$24:$F$31</c:f>
              <c:numCache>
                <c:formatCode>General</c:formatCode>
                <c:ptCount val="8"/>
                <c:pt idx="0">
                  <c:v>0.79</c:v>
                </c:pt>
                <c:pt idx="1">
                  <c:v>0.86</c:v>
                </c:pt>
                <c:pt idx="2">
                  <c:v>0.97</c:v>
                </c:pt>
                <c:pt idx="3">
                  <c:v>1.24</c:v>
                </c:pt>
                <c:pt idx="4">
                  <c:v>1.42</c:v>
                </c:pt>
                <c:pt idx="5">
                  <c:v>1.59</c:v>
                </c:pt>
                <c:pt idx="6">
                  <c:v>1.8</c:v>
                </c:pt>
                <c:pt idx="7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14C-4360-B781-5E2958532D56}"/>
            </c:ext>
          </c:extLst>
        </c:ser>
        <c:ser>
          <c:idx val="3"/>
          <c:order val="8"/>
          <c:tx>
            <c:v>T200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程式試驗!$G$24:$G$31</c:f>
              <c:numCache>
                <c:formatCode>General</c:formatCode>
                <c:ptCount val="8"/>
                <c:pt idx="0">
                  <c:v>9.1999999999999993</c:v>
                </c:pt>
                <c:pt idx="1">
                  <c:v>13.6</c:v>
                </c:pt>
                <c:pt idx="2">
                  <c:v>18</c:v>
                </c:pt>
                <c:pt idx="3">
                  <c:v>32.5</c:v>
                </c:pt>
                <c:pt idx="4">
                  <c:v>48</c:v>
                </c:pt>
                <c:pt idx="5">
                  <c:v>62.1</c:v>
                </c:pt>
                <c:pt idx="6">
                  <c:v>79.2</c:v>
                </c:pt>
                <c:pt idx="7">
                  <c:v>93</c:v>
                </c:pt>
              </c:numCache>
            </c:numRef>
          </c:xVal>
          <c:yVal>
            <c:numRef>
              <c:f>程式試驗!$H$24:$H$31</c:f>
              <c:numCache>
                <c:formatCode>General</c:formatCode>
                <c:ptCount val="8"/>
                <c:pt idx="0">
                  <c:v>1.1100000000000001</c:v>
                </c:pt>
                <c:pt idx="1">
                  <c:v>1.22</c:v>
                </c:pt>
                <c:pt idx="2">
                  <c:v>1.41</c:v>
                </c:pt>
                <c:pt idx="3">
                  <c:v>1.71</c:v>
                </c:pt>
                <c:pt idx="4">
                  <c:v>1.97</c:v>
                </c:pt>
                <c:pt idx="5">
                  <c:v>2.2599999999999998</c:v>
                </c:pt>
                <c:pt idx="6">
                  <c:v>2.5099999999999998</c:v>
                </c:pt>
                <c:pt idx="7">
                  <c:v>4.0199999999999996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14C-4360-B781-5E2958532D56}"/>
            </c:ext>
          </c:extLst>
        </c:ser>
        <c:ser>
          <c:idx val="4"/>
          <c:order val="9"/>
          <c:tx>
            <c:v>T250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程式試驗!$I$24:$I$31</c:f>
              <c:numCache>
                <c:formatCode>General</c:formatCode>
                <c:ptCount val="8"/>
                <c:pt idx="0">
                  <c:v>9.6</c:v>
                </c:pt>
                <c:pt idx="1">
                  <c:v>13.9</c:v>
                </c:pt>
                <c:pt idx="2">
                  <c:v>18.7</c:v>
                </c:pt>
                <c:pt idx="3">
                  <c:v>33.1</c:v>
                </c:pt>
                <c:pt idx="4">
                  <c:v>47.9</c:v>
                </c:pt>
                <c:pt idx="5">
                  <c:v>64.2</c:v>
                </c:pt>
                <c:pt idx="6">
                  <c:v>78</c:v>
                </c:pt>
                <c:pt idx="7">
                  <c:v>92.2</c:v>
                </c:pt>
              </c:numCache>
            </c:numRef>
          </c:xVal>
          <c:yVal>
            <c:numRef>
              <c:f>程式試驗!$J$24:$J$31</c:f>
              <c:numCache>
                <c:formatCode>General</c:formatCode>
                <c:ptCount val="8"/>
                <c:pt idx="0">
                  <c:v>1.24</c:v>
                </c:pt>
                <c:pt idx="1">
                  <c:v>1.61</c:v>
                </c:pt>
                <c:pt idx="2">
                  <c:v>1.72</c:v>
                </c:pt>
                <c:pt idx="3">
                  <c:v>2.15</c:v>
                </c:pt>
                <c:pt idx="4">
                  <c:v>2.4700000000000002</c:v>
                </c:pt>
                <c:pt idx="5">
                  <c:v>2.87</c:v>
                </c:pt>
                <c:pt idx="6">
                  <c:v>3.03</c:v>
                </c:pt>
                <c:pt idx="7">
                  <c:v>4.9800000000000004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14C-4360-B781-5E2958532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不撕</a:t>
            </a:r>
            <a:r>
              <a:rPr lang="en-US" altLang="zh-TW"/>
              <a:t>*2 Compare(F&amp;T)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F50</c:v>
          </c:tx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程式預測!$N$14:$N$21</c:f>
              <c:numCache>
                <c:formatCode>General</c:formatCode>
                <c:ptCount val="8"/>
                <c:pt idx="0">
                  <c:v>0.48</c:v>
                </c:pt>
                <c:pt idx="1">
                  <c:v>0.64</c:v>
                </c:pt>
                <c:pt idx="2">
                  <c:v>0.76</c:v>
                </c:pt>
                <c:pt idx="3">
                  <c:v>1.06</c:v>
                </c:pt>
                <c:pt idx="4">
                  <c:v>1.3</c:v>
                </c:pt>
                <c:pt idx="5">
                  <c:v>1.47</c:v>
                </c:pt>
                <c:pt idx="6">
                  <c:v>1.56</c:v>
                </c:pt>
                <c:pt idx="7">
                  <c:v>1.59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B4-46FE-9E72-49827C19A4C9}"/>
            </c:ext>
          </c:extLst>
        </c:ser>
        <c:ser>
          <c:idx val="6"/>
          <c:order val="1"/>
          <c:tx>
            <c:v>F100</c:v>
          </c:tx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程式預測!$O$14:$O$21</c:f>
              <c:numCache>
                <c:formatCode>General</c:formatCode>
                <c:ptCount val="8"/>
                <c:pt idx="0">
                  <c:v>0.97</c:v>
                </c:pt>
                <c:pt idx="1">
                  <c:v>1.27</c:v>
                </c:pt>
                <c:pt idx="2">
                  <c:v>1.52</c:v>
                </c:pt>
                <c:pt idx="3">
                  <c:v>2.12</c:v>
                </c:pt>
                <c:pt idx="4">
                  <c:v>2.59</c:v>
                </c:pt>
                <c:pt idx="5">
                  <c:v>2.94</c:v>
                </c:pt>
                <c:pt idx="6">
                  <c:v>3.13</c:v>
                </c:pt>
                <c:pt idx="7">
                  <c:v>3.18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B4-46FE-9E72-49827C19A4C9}"/>
            </c:ext>
          </c:extLst>
        </c:ser>
        <c:ser>
          <c:idx val="7"/>
          <c:order val="2"/>
          <c:tx>
            <c:v>F150</c:v>
          </c:tx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程式預測!$P$14:$P$21</c:f>
              <c:numCache>
                <c:formatCode>General</c:formatCode>
                <c:ptCount val="8"/>
                <c:pt idx="0">
                  <c:v>1.54</c:v>
                </c:pt>
                <c:pt idx="1">
                  <c:v>1.91</c:v>
                </c:pt>
                <c:pt idx="2">
                  <c:v>2.2799999999999998</c:v>
                </c:pt>
                <c:pt idx="3">
                  <c:v>3.18</c:v>
                </c:pt>
                <c:pt idx="4">
                  <c:v>3.89</c:v>
                </c:pt>
                <c:pt idx="5">
                  <c:v>4.4000000000000004</c:v>
                </c:pt>
                <c:pt idx="6">
                  <c:v>4.6900000000000004</c:v>
                </c:pt>
                <c:pt idx="7">
                  <c:v>4.7699999999999996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B4-46FE-9E72-49827C19A4C9}"/>
            </c:ext>
          </c:extLst>
        </c:ser>
        <c:ser>
          <c:idx val="8"/>
          <c:order val="3"/>
          <c:tx>
            <c:v>F200</c:v>
          </c:tx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程式預測!$Q$14:$Q$21</c:f>
              <c:numCache>
                <c:formatCode>General</c:formatCode>
                <c:ptCount val="8"/>
                <c:pt idx="0">
                  <c:v>1.93</c:v>
                </c:pt>
                <c:pt idx="1">
                  <c:v>2.5499999999999998</c:v>
                </c:pt>
                <c:pt idx="2">
                  <c:v>3.04</c:v>
                </c:pt>
                <c:pt idx="3">
                  <c:v>4.24</c:v>
                </c:pt>
                <c:pt idx="4">
                  <c:v>5.18</c:v>
                </c:pt>
                <c:pt idx="5">
                  <c:v>5.87</c:v>
                </c:pt>
                <c:pt idx="6">
                  <c:v>6.25</c:v>
                </c:pt>
                <c:pt idx="7">
                  <c:v>6.36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B4-46FE-9E72-49827C19A4C9}"/>
            </c:ext>
          </c:extLst>
        </c:ser>
        <c:ser>
          <c:idx val="9"/>
          <c:order val="4"/>
          <c:tx>
            <c:v>F250</c:v>
          </c:tx>
          <c:xVal>
            <c:numRef>
              <c:f>程式預測!$M$14:$M$21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程式預測!$R$14:$R$21</c:f>
              <c:numCache>
                <c:formatCode>General</c:formatCode>
                <c:ptCount val="8"/>
                <c:pt idx="0">
                  <c:v>2.42</c:v>
                </c:pt>
                <c:pt idx="1">
                  <c:v>3.18</c:v>
                </c:pt>
                <c:pt idx="2">
                  <c:v>3.8</c:v>
                </c:pt>
                <c:pt idx="3">
                  <c:v>5.3</c:v>
                </c:pt>
                <c:pt idx="4">
                  <c:v>6.48</c:v>
                </c:pt>
                <c:pt idx="5">
                  <c:v>7.34</c:v>
                </c:pt>
                <c:pt idx="6">
                  <c:v>7.82</c:v>
                </c:pt>
                <c:pt idx="7">
                  <c:v>7.94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B4-46FE-9E72-49827C19A4C9}"/>
            </c:ext>
          </c:extLst>
        </c:ser>
        <c:ser>
          <c:idx val="0"/>
          <c:order val="5"/>
          <c:tx>
            <c:v>T50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程式試驗!$U$24:$U$31</c:f>
              <c:numCache>
                <c:formatCode>General</c:formatCode>
                <c:ptCount val="8"/>
                <c:pt idx="0">
                  <c:v>5.9</c:v>
                </c:pt>
                <c:pt idx="1">
                  <c:v>5.8</c:v>
                </c:pt>
                <c:pt idx="2">
                  <c:v>9.4</c:v>
                </c:pt>
                <c:pt idx="3">
                  <c:v>14.8</c:v>
                </c:pt>
                <c:pt idx="4">
                  <c:v>24.8</c:v>
                </c:pt>
                <c:pt idx="5">
                  <c:v>35.9</c:v>
                </c:pt>
                <c:pt idx="6">
                  <c:v>43.9</c:v>
                </c:pt>
                <c:pt idx="7">
                  <c:v>50</c:v>
                </c:pt>
              </c:numCache>
            </c:numRef>
          </c:xVal>
          <c:yVal>
            <c:numRef>
              <c:f>程式試驗!$V$24:$V$31</c:f>
              <c:numCache>
                <c:formatCode>General</c:formatCode>
                <c:ptCount val="8"/>
                <c:pt idx="0">
                  <c:v>0.71</c:v>
                </c:pt>
                <c:pt idx="1">
                  <c:v>0.71</c:v>
                </c:pt>
                <c:pt idx="2">
                  <c:v>0.88</c:v>
                </c:pt>
                <c:pt idx="3">
                  <c:v>1.0900000000000001</c:v>
                </c:pt>
                <c:pt idx="4">
                  <c:v>1.31</c:v>
                </c:pt>
                <c:pt idx="5">
                  <c:v>1.5</c:v>
                </c:pt>
                <c:pt idx="6">
                  <c:v>1.57</c:v>
                </c:pt>
                <c:pt idx="7">
                  <c:v>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B4-46FE-9E72-49827C19A4C9}"/>
            </c:ext>
          </c:extLst>
        </c:ser>
        <c:ser>
          <c:idx val="1"/>
          <c:order val="6"/>
          <c:tx>
            <c:v>T100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程式試驗!$W$24:$W$31</c:f>
              <c:numCache>
                <c:formatCode>General</c:formatCode>
                <c:ptCount val="8"/>
                <c:pt idx="0">
                  <c:v>5.9</c:v>
                </c:pt>
                <c:pt idx="1">
                  <c:v>5.8</c:v>
                </c:pt>
                <c:pt idx="2">
                  <c:v>6.1</c:v>
                </c:pt>
                <c:pt idx="3">
                  <c:v>13.8</c:v>
                </c:pt>
                <c:pt idx="4">
                  <c:v>24.1</c:v>
                </c:pt>
                <c:pt idx="5">
                  <c:v>31.8</c:v>
                </c:pt>
                <c:pt idx="6">
                  <c:v>41.1</c:v>
                </c:pt>
                <c:pt idx="7">
                  <c:v>44.6</c:v>
                </c:pt>
              </c:numCache>
            </c:numRef>
          </c:xVal>
          <c:yVal>
            <c:numRef>
              <c:f>程式試驗!$X$24:$X$31</c:f>
              <c:numCache>
                <c:formatCode>General</c:formatCode>
                <c:ptCount val="8"/>
                <c:pt idx="0">
                  <c:v>1.52</c:v>
                </c:pt>
                <c:pt idx="1">
                  <c:v>1.52</c:v>
                </c:pt>
                <c:pt idx="2">
                  <c:v>1.54</c:v>
                </c:pt>
                <c:pt idx="3">
                  <c:v>2.15</c:v>
                </c:pt>
                <c:pt idx="4">
                  <c:v>2.6</c:v>
                </c:pt>
                <c:pt idx="5">
                  <c:v>2.98</c:v>
                </c:pt>
                <c:pt idx="6">
                  <c:v>3.13</c:v>
                </c:pt>
                <c:pt idx="7">
                  <c:v>3.26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EB4-46FE-9E72-49827C19A4C9}"/>
            </c:ext>
          </c:extLst>
        </c:ser>
        <c:ser>
          <c:idx val="2"/>
          <c:order val="7"/>
          <c:tx>
            <c:v>T150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程式試驗!$Y$24:$Y$31</c:f>
              <c:numCache>
                <c:formatCode>General</c:formatCode>
                <c:ptCount val="8"/>
                <c:pt idx="0">
                  <c:v>6.01</c:v>
                </c:pt>
                <c:pt idx="1">
                  <c:v>5.0999999999999996</c:v>
                </c:pt>
                <c:pt idx="2">
                  <c:v>5.6</c:v>
                </c:pt>
                <c:pt idx="3">
                  <c:v>13.2</c:v>
                </c:pt>
                <c:pt idx="4">
                  <c:v>25.4</c:v>
                </c:pt>
                <c:pt idx="5">
                  <c:v>35.4</c:v>
                </c:pt>
                <c:pt idx="6">
                  <c:v>42.7</c:v>
                </c:pt>
                <c:pt idx="7">
                  <c:v>51.6</c:v>
                </c:pt>
              </c:numCache>
            </c:numRef>
          </c:xVal>
          <c:yVal>
            <c:numRef>
              <c:f>程式試驗!$Z$24:$Z$31</c:f>
              <c:numCache>
                <c:formatCode>General</c:formatCode>
                <c:ptCount val="8"/>
                <c:pt idx="0">
                  <c:v>2.4</c:v>
                </c:pt>
                <c:pt idx="1">
                  <c:v>2.34</c:v>
                </c:pt>
                <c:pt idx="2">
                  <c:v>2.36</c:v>
                </c:pt>
                <c:pt idx="3">
                  <c:v>3.26</c:v>
                </c:pt>
                <c:pt idx="4">
                  <c:v>4.03</c:v>
                </c:pt>
                <c:pt idx="5">
                  <c:v>4.46</c:v>
                </c:pt>
                <c:pt idx="6">
                  <c:v>4.74</c:v>
                </c:pt>
                <c:pt idx="7">
                  <c:v>5.03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EB4-46FE-9E72-49827C19A4C9}"/>
            </c:ext>
          </c:extLst>
        </c:ser>
        <c:ser>
          <c:idx val="3"/>
          <c:order val="8"/>
          <c:tx>
            <c:v>T200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程式試驗!$AA$24:$AA$31</c:f>
              <c:numCache>
                <c:formatCode>General</c:formatCode>
                <c:ptCount val="8"/>
                <c:pt idx="0">
                  <c:v>5.4</c:v>
                </c:pt>
                <c:pt idx="1">
                  <c:v>5.9</c:v>
                </c:pt>
                <c:pt idx="2">
                  <c:v>5.9</c:v>
                </c:pt>
                <c:pt idx="3">
                  <c:v>10.9</c:v>
                </c:pt>
                <c:pt idx="4">
                  <c:v>25.9</c:v>
                </c:pt>
                <c:pt idx="5">
                  <c:v>33.299999999999997</c:v>
                </c:pt>
                <c:pt idx="6">
                  <c:v>41.8</c:v>
                </c:pt>
                <c:pt idx="7">
                  <c:v>52.7</c:v>
                </c:pt>
              </c:numCache>
            </c:numRef>
          </c:xVal>
          <c:yVal>
            <c:numRef>
              <c:f>程式試驗!$AB$24:$AB$31</c:f>
              <c:numCache>
                <c:formatCode>General</c:formatCode>
                <c:ptCount val="8"/>
                <c:pt idx="0">
                  <c:v>3.07</c:v>
                </c:pt>
                <c:pt idx="1">
                  <c:v>3.15</c:v>
                </c:pt>
                <c:pt idx="2">
                  <c:v>3.15</c:v>
                </c:pt>
                <c:pt idx="3">
                  <c:v>4.25</c:v>
                </c:pt>
                <c:pt idx="4">
                  <c:v>5.43</c:v>
                </c:pt>
                <c:pt idx="5">
                  <c:v>5.9</c:v>
                </c:pt>
                <c:pt idx="6">
                  <c:v>6.26</c:v>
                </c:pt>
                <c:pt idx="7">
                  <c:v>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EB4-46FE-9E72-49827C19A4C9}"/>
            </c:ext>
          </c:extLst>
        </c:ser>
        <c:ser>
          <c:idx val="4"/>
          <c:order val="9"/>
          <c:tx>
            <c:v>T250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程式試驗!$AC$24:$AC$31</c:f>
              <c:numCache>
                <c:formatCode>General</c:formatCode>
                <c:ptCount val="8"/>
                <c:pt idx="0">
                  <c:v>5.0599999999999996</c:v>
                </c:pt>
                <c:pt idx="1">
                  <c:v>6.01</c:v>
                </c:pt>
                <c:pt idx="2">
                  <c:v>8.1</c:v>
                </c:pt>
                <c:pt idx="3">
                  <c:v>15.5</c:v>
                </c:pt>
                <c:pt idx="4">
                  <c:v>24.9</c:v>
                </c:pt>
                <c:pt idx="5">
                  <c:v>33.299999999999997</c:v>
                </c:pt>
                <c:pt idx="6">
                  <c:v>42.9</c:v>
                </c:pt>
                <c:pt idx="7">
                  <c:v>51.7</c:v>
                </c:pt>
              </c:numCache>
            </c:numRef>
          </c:xVal>
          <c:yVal>
            <c:numRef>
              <c:f>程式試驗!$AD$24:$AD$31</c:f>
              <c:numCache>
                <c:formatCode>General</c:formatCode>
                <c:ptCount val="8"/>
                <c:pt idx="0">
                  <c:v>3.95</c:v>
                </c:pt>
                <c:pt idx="1">
                  <c:v>4.01</c:v>
                </c:pt>
                <c:pt idx="2">
                  <c:v>4.4800000000000004</c:v>
                </c:pt>
                <c:pt idx="3">
                  <c:v>5.71</c:v>
                </c:pt>
                <c:pt idx="4">
                  <c:v>6.52</c:v>
                </c:pt>
                <c:pt idx="5">
                  <c:v>7.38</c:v>
                </c:pt>
                <c:pt idx="6">
                  <c:v>8</c:v>
                </c:pt>
                <c:pt idx="7">
                  <c:v>8.23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EB4-46FE-9E72-49827C19A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撕</a:t>
            </a:r>
            <a:r>
              <a:rPr lang="en-US" altLang="zh-TW"/>
              <a:t>*1.5</a:t>
            </a:r>
            <a:r>
              <a:rPr lang="zh-TW" altLang="en-US"/>
              <a:t> </a:t>
            </a:r>
            <a:r>
              <a:rPr lang="en-US" altLang="zh-TW"/>
              <a:t>Compare(F&amp;T)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F50</c:v>
          </c:tx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程式預測!$H$14:$H$21</c:f>
              <c:numCache>
                <c:formatCode>General</c:formatCode>
                <c:ptCount val="8"/>
                <c:pt idx="0">
                  <c:v>0.34</c:v>
                </c:pt>
                <c:pt idx="1">
                  <c:v>0.44</c:v>
                </c:pt>
                <c:pt idx="2">
                  <c:v>0.53</c:v>
                </c:pt>
                <c:pt idx="3">
                  <c:v>0.73</c:v>
                </c:pt>
                <c:pt idx="4">
                  <c:v>0.88</c:v>
                </c:pt>
                <c:pt idx="5">
                  <c:v>0.99</c:v>
                </c:pt>
                <c:pt idx="6">
                  <c:v>1.05</c:v>
                </c:pt>
                <c:pt idx="7">
                  <c:v>1.06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1C-483E-9338-D2E673010289}"/>
            </c:ext>
          </c:extLst>
        </c:ser>
        <c:ser>
          <c:idx val="6"/>
          <c:order val="1"/>
          <c:tx>
            <c:v>F100</c:v>
          </c:tx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程式預測!$I$14:$I$21</c:f>
              <c:numCache>
                <c:formatCode>General</c:formatCode>
                <c:ptCount val="8"/>
                <c:pt idx="0">
                  <c:v>0.67</c:v>
                </c:pt>
                <c:pt idx="1">
                  <c:v>0.88</c:v>
                </c:pt>
                <c:pt idx="2">
                  <c:v>1.05</c:v>
                </c:pt>
                <c:pt idx="3">
                  <c:v>1.46</c:v>
                </c:pt>
                <c:pt idx="4">
                  <c:v>1.77</c:v>
                </c:pt>
                <c:pt idx="5">
                  <c:v>1.99</c:v>
                </c:pt>
                <c:pt idx="6">
                  <c:v>2.1</c:v>
                </c:pt>
                <c:pt idx="7">
                  <c:v>2.11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1C-483E-9338-D2E673010289}"/>
            </c:ext>
          </c:extLst>
        </c:ser>
        <c:ser>
          <c:idx val="7"/>
          <c:order val="2"/>
          <c:tx>
            <c:v>F150</c:v>
          </c:tx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程式預測!$J$14:$J$21</c:f>
              <c:numCache>
                <c:formatCode>General</c:formatCode>
                <c:ptCount val="8"/>
                <c:pt idx="0">
                  <c:v>1.01</c:v>
                </c:pt>
                <c:pt idx="1">
                  <c:v>1.32</c:v>
                </c:pt>
                <c:pt idx="2">
                  <c:v>1.58</c:v>
                </c:pt>
                <c:pt idx="3">
                  <c:v>2.19</c:v>
                </c:pt>
                <c:pt idx="4">
                  <c:v>2.65</c:v>
                </c:pt>
                <c:pt idx="5">
                  <c:v>2.98</c:v>
                </c:pt>
                <c:pt idx="6">
                  <c:v>3.15</c:v>
                </c:pt>
                <c:pt idx="7">
                  <c:v>3.17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1C-483E-9338-D2E673010289}"/>
            </c:ext>
          </c:extLst>
        </c:ser>
        <c:ser>
          <c:idx val="8"/>
          <c:order val="3"/>
          <c:tx>
            <c:v>F200</c:v>
          </c:tx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程式預測!$K$14:$K$21</c:f>
              <c:numCache>
                <c:formatCode>General</c:formatCode>
                <c:ptCount val="8"/>
                <c:pt idx="0">
                  <c:v>1.34</c:v>
                </c:pt>
                <c:pt idx="1">
                  <c:v>1.77</c:v>
                </c:pt>
                <c:pt idx="2">
                  <c:v>2.1</c:v>
                </c:pt>
                <c:pt idx="3">
                  <c:v>2.92</c:v>
                </c:pt>
                <c:pt idx="4">
                  <c:v>3.54</c:v>
                </c:pt>
                <c:pt idx="5">
                  <c:v>3.98</c:v>
                </c:pt>
                <c:pt idx="6">
                  <c:v>4.2</c:v>
                </c:pt>
                <c:pt idx="7">
                  <c:v>4.22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1C-483E-9338-D2E673010289}"/>
            </c:ext>
          </c:extLst>
        </c:ser>
        <c:ser>
          <c:idx val="9"/>
          <c:order val="4"/>
          <c:tx>
            <c:v>F250</c:v>
          </c:tx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程式預測!$L$14:$L$21</c:f>
              <c:numCache>
                <c:formatCode>General</c:formatCode>
                <c:ptCount val="8"/>
                <c:pt idx="0">
                  <c:v>1.68</c:v>
                </c:pt>
                <c:pt idx="1">
                  <c:v>2.21</c:v>
                </c:pt>
                <c:pt idx="2">
                  <c:v>2.63</c:v>
                </c:pt>
                <c:pt idx="3">
                  <c:v>3.65</c:v>
                </c:pt>
                <c:pt idx="4">
                  <c:v>4.42</c:v>
                </c:pt>
                <c:pt idx="5">
                  <c:v>4.97</c:v>
                </c:pt>
                <c:pt idx="6">
                  <c:v>5.25</c:v>
                </c:pt>
                <c:pt idx="7">
                  <c:v>5.28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1C-483E-9338-D2E673010289}"/>
            </c:ext>
          </c:extLst>
        </c:ser>
        <c:ser>
          <c:idx val="0"/>
          <c:order val="5"/>
          <c:tx>
            <c:v>T50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程式試驗!$K$14:$K$21</c:f>
              <c:numCache>
                <c:formatCode>General</c:formatCode>
                <c:ptCount val="8"/>
                <c:pt idx="0">
                  <c:v>6.7</c:v>
                </c:pt>
                <c:pt idx="1">
                  <c:v>8.6</c:v>
                </c:pt>
                <c:pt idx="2">
                  <c:v>11.2</c:v>
                </c:pt>
                <c:pt idx="3">
                  <c:v>21.2</c:v>
                </c:pt>
                <c:pt idx="4">
                  <c:v>33.5</c:v>
                </c:pt>
                <c:pt idx="5">
                  <c:v>43.1</c:v>
                </c:pt>
                <c:pt idx="6">
                  <c:v>48.4</c:v>
                </c:pt>
                <c:pt idx="7">
                  <c:v>55.8</c:v>
                </c:pt>
              </c:numCache>
            </c:numRef>
          </c:xVal>
          <c:yVal>
            <c:numRef>
              <c:f>程式試驗!$L$14:$L$21</c:f>
              <c:numCache>
                <c:formatCode>General</c:formatCode>
                <c:ptCount val="8"/>
                <c:pt idx="0">
                  <c:v>0.39</c:v>
                </c:pt>
                <c:pt idx="1">
                  <c:v>0.52</c:v>
                </c:pt>
                <c:pt idx="2">
                  <c:v>0.57999999999999996</c:v>
                </c:pt>
                <c:pt idx="3">
                  <c:v>0.75</c:v>
                </c:pt>
                <c:pt idx="4">
                  <c:v>0.9</c:v>
                </c:pt>
                <c:pt idx="5">
                  <c:v>0.99</c:v>
                </c:pt>
                <c:pt idx="6">
                  <c:v>1.05</c:v>
                </c:pt>
                <c:pt idx="7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1C-483E-9338-D2E673010289}"/>
            </c:ext>
          </c:extLst>
        </c:ser>
        <c:ser>
          <c:idx val="1"/>
          <c:order val="6"/>
          <c:tx>
            <c:v>T100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程式試驗!$M$14:$M$21</c:f>
              <c:numCache>
                <c:formatCode>General</c:formatCode>
                <c:ptCount val="8"/>
                <c:pt idx="0">
                  <c:v>6</c:v>
                </c:pt>
                <c:pt idx="1">
                  <c:v>7.1</c:v>
                </c:pt>
                <c:pt idx="2">
                  <c:v>8.9</c:v>
                </c:pt>
                <c:pt idx="3">
                  <c:v>16.899999999999999</c:v>
                </c:pt>
                <c:pt idx="4">
                  <c:v>28.7</c:v>
                </c:pt>
                <c:pt idx="5">
                  <c:v>41.1</c:v>
                </c:pt>
                <c:pt idx="6">
                  <c:v>48.1</c:v>
                </c:pt>
                <c:pt idx="7">
                  <c:v>55.5</c:v>
                </c:pt>
              </c:numCache>
            </c:numRef>
          </c:xVal>
          <c:yVal>
            <c:numRef>
              <c:f>程式試驗!$N$14:$N$21</c:f>
              <c:numCache>
                <c:formatCode>General</c:formatCode>
                <c:ptCount val="8"/>
                <c:pt idx="0">
                  <c:v>0.94</c:v>
                </c:pt>
                <c:pt idx="1">
                  <c:v>1.07</c:v>
                </c:pt>
                <c:pt idx="2">
                  <c:v>1.1200000000000001</c:v>
                </c:pt>
                <c:pt idx="3">
                  <c:v>1.48</c:v>
                </c:pt>
                <c:pt idx="4">
                  <c:v>1.8</c:v>
                </c:pt>
                <c:pt idx="5">
                  <c:v>2.02</c:v>
                </c:pt>
                <c:pt idx="6">
                  <c:v>2.14</c:v>
                </c:pt>
                <c:pt idx="7">
                  <c:v>2.21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B1C-483E-9338-D2E673010289}"/>
            </c:ext>
          </c:extLst>
        </c:ser>
        <c:ser>
          <c:idx val="2"/>
          <c:order val="7"/>
          <c:tx>
            <c:v>T150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程式試驗!$O$14:$O$21</c:f>
              <c:numCache>
                <c:formatCode>General</c:formatCode>
                <c:ptCount val="8"/>
                <c:pt idx="0">
                  <c:v>5.8</c:v>
                </c:pt>
                <c:pt idx="1">
                  <c:v>5.9</c:v>
                </c:pt>
                <c:pt idx="2">
                  <c:v>9.5</c:v>
                </c:pt>
                <c:pt idx="3">
                  <c:v>18</c:v>
                </c:pt>
                <c:pt idx="4">
                  <c:v>31.3</c:v>
                </c:pt>
                <c:pt idx="5">
                  <c:v>39.5</c:v>
                </c:pt>
                <c:pt idx="6">
                  <c:v>46.1</c:v>
                </c:pt>
                <c:pt idx="7">
                  <c:v>50</c:v>
                </c:pt>
              </c:numCache>
            </c:numRef>
          </c:xVal>
          <c:yVal>
            <c:numRef>
              <c:f>程式試驗!$P$14:$P$21</c:f>
              <c:numCache>
                <c:formatCode>General</c:formatCode>
                <c:ptCount val="8"/>
                <c:pt idx="0">
                  <c:v>1.56</c:v>
                </c:pt>
                <c:pt idx="1">
                  <c:v>1.48</c:v>
                </c:pt>
                <c:pt idx="2">
                  <c:v>1.82</c:v>
                </c:pt>
                <c:pt idx="3">
                  <c:v>2.27</c:v>
                </c:pt>
                <c:pt idx="4">
                  <c:v>2.77</c:v>
                </c:pt>
                <c:pt idx="5">
                  <c:v>3</c:v>
                </c:pt>
                <c:pt idx="6">
                  <c:v>3.28</c:v>
                </c:pt>
                <c:pt idx="7">
                  <c:v>3.35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B1C-483E-9338-D2E673010289}"/>
            </c:ext>
          </c:extLst>
        </c:ser>
        <c:ser>
          <c:idx val="3"/>
          <c:order val="8"/>
          <c:tx>
            <c:v>T200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程式試驗!$Q$14:$Q$21</c:f>
              <c:numCache>
                <c:formatCode>General</c:formatCode>
                <c:ptCount val="8"/>
                <c:pt idx="0">
                  <c:v>5.8</c:v>
                </c:pt>
                <c:pt idx="1">
                  <c:v>7.1</c:v>
                </c:pt>
                <c:pt idx="2">
                  <c:v>8.1999999999999993</c:v>
                </c:pt>
                <c:pt idx="3">
                  <c:v>13.5</c:v>
                </c:pt>
                <c:pt idx="4">
                  <c:v>27.1</c:v>
                </c:pt>
                <c:pt idx="5">
                  <c:v>41.7</c:v>
                </c:pt>
                <c:pt idx="6">
                  <c:v>56.1</c:v>
                </c:pt>
                <c:pt idx="7">
                  <c:v>64.5</c:v>
                </c:pt>
              </c:numCache>
            </c:numRef>
          </c:xVal>
          <c:yVal>
            <c:numRef>
              <c:f>程式試驗!$R$14:$R$21</c:f>
              <c:numCache>
                <c:formatCode>General</c:formatCode>
                <c:ptCount val="8"/>
                <c:pt idx="0">
                  <c:v>2.14</c:v>
                </c:pt>
                <c:pt idx="1">
                  <c:v>2.42</c:v>
                </c:pt>
                <c:pt idx="2">
                  <c:v>2.4500000000000002</c:v>
                </c:pt>
                <c:pt idx="3">
                  <c:v>2.92</c:v>
                </c:pt>
                <c:pt idx="4">
                  <c:v>3.63</c:v>
                </c:pt>
                <c:pt idx="5">
                  <c:v>4.12</c:v>
                </c:pt>
                <c:pt idx="6">
                  <c:v>4.37</c:v>
                </c:pt>
                <c:pt idx="7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B1C-483E-9338-D2E673010289}"/>
            </c:ext>
          </c:extLst>
        </c:ser>
        <c:ser>
          <c:idx val="4"/>
          <c:order val="9"/>
          <c:tx>
            <c:v>T250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程式試驗!$S$14:$S$21</c:f>
              <c:numCache>
                <c:formatCode>General</c:formatCode>
                <c:ptCount val="8"/>
                <c:pt idx="0">
                  <c:v>5.6</c:v>
                </c:pt>
                <c:pt idx="1">
                  <c:v>5.9</c:v>
                </c:pt>
                <c:pt idx="2">
                  <c:v>9.1</c:v>
                </c:pt>
                <c:pt idx="3">
                  <c:v>17.100000000000001</c:v>
                </c:pt>
                <c:pt idx="4">
                  <c:v>26.6</c:v>
                </c:pt>
                <c:pt idx="5">
                  <c:v>38.200000000000003</c:v>
                </c:pt>
                <c:pt idx="6">
                  <c:v>57.9</c:v>
                </c:pt>
                <c:pt idx="7">
                  <c:v>61</c:v>
                </c:pt>
              </c:numCache>
            </c:numRef>
          </c:xVal>
          <c:yVal>
            <c:numRef>
              <c:f>程式試驗!$T$14:$T$21</c:f>
              <c:numCache>
                <c:formatCode>General</c:formatCode>
                <c:ptCount val="8"/>
                <c:pt idx="0">
                  <c:v>2.57</c:v>
                </c:pt>
                <c:pt idx="1">
                  <c:v>2.7</c:v>
                </c:pt>
                <c:pt idx="2">
                  <c:v>3.22</c:v>
                </c:pt>
                <c:pt idx="3">
                  <c:v>3.82</c:v>
                </c:pt>
                <c:pt idx="4">
                  <c:v>4.4800000000000004</c:v>
                </c:pt>
                <c:pt idx="5">
                  <c:v>5.0199999999999996</c:v>
                </c:pt>
                <c:pt idx="6">
                  <c:v>5.51</c:v>
                </c:pt>
                <c:pt idx="7">
                  <c:v>5.98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B1C-483E-9338-D2E673010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SUS</a:t>
            </a:r>
            <a:r>
              <a:rPr lang="zh-TW" altLang="en-US"/>
              <a:t>不撕</a:t>
            </a:r>
            <a:r>
              <a:rPr lang="en-US" altLang="zh-TW"/>
              <a:t>*1.5 Compare(F&amp;T)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F50</c:v>
          </c:tx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程式預測!$H$14:$H$21</c:f>
              <c:numCache>
                <c:formatCode>General</c:formatCode>
                <c:ptCount val="8"/>
                <c:pt idx="0">
                  <c:v>0.34</c:v>
                </c:pt>
                <c:pt idx="1">
                  <c:v>0.44</c:v>
                </c:pt>
                <c:pt idx="2">
                  <c:v>0.53</c:v>
                </c:pt>
                <c:pt idx="3">
                  <c:v>0.73</c:v>
                </c:pt>
                <c:pt idx="4">
                  <c:v>0.88</c:v>
                </c:pt>
                <c:pt idx="5">
                  <c:v>0.99</c:v>
                </c:pt>
                <c:pt idx="6">
                  <c:v>1.05</c:v>
                </c:pt>
                <c:pt idx="7">
                  <c:v>1.06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38-46D2-9F05-0E64CC2DA846}"/>
            </c:ext>
          </c:extLst>
        </c:ser>
        <c:ser>
          <c:idx val="6"/>
          <c:order val="1"/>
          <c:tx>
            <c:v>F100</c:v>
          </c:tx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程式預測!$I$14:$I$21</c:f>
              <c:numCache>
                <c:formatCode>General</c:formatCode>
                <c:ptCount val="8"/>
                <c:pt idx="0">
                  <c:v>0.67</c:v>
                </c:pt>
                <c:pt idx="1">
                  <c:v>0.88</c:v>
                </c:pt>
                <c:pt idx="2">
                  <c:v>1.05</c:v>
                </c:pt>
                <c:pt idx="3">
                  <c:v>1.46</c:v>
                </c:pt>
                <c:pt idx="4">
                  <c:v>1.77</c:v>
                </c:pt>
                <c:pt idx="5">
                  <c:v>1.99</c:v>
                </c:pt>
                <c:pt idx="6">
                  <c:v>2.1</c:v>
                </c:pt>
                <c:pt idx="7">
                  <c:v>2.11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38-46D2-9F05-0E64CC2DA846}"/>
            </c:ext>
          </c:extLst>
        </c:ser>
        <c:ser>
          <c:idx val="7"/>
          <c:order val="2"/>
          <c:tx>
            <c:v>F150</c:v>
          </c:tx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程式預測!$J$14:$J$21</c:f>
              <c:numCache>
                <c:formatCode>General</c:formatCode>
                <c:ptCount val="8"/>
                <c:pt idx="0">
                  <c:v>1.01</c:v>
                </c:pt>
                <c:pt idx="1">
                  <c:v>1.32</c:v>
                </c:pt>
                <c:pt idx="2">
                  <c:v>1.58</c:v>
                </c:pt>
                <c:pt idx="3">
                  <c:v>2.19</c:v>
                </c:pt>
                <c:pt idx="4">
                  <c:v>2.65</c:v>
                </c:pt>
                <c:pt idx="5">
                  <c:v>2.98</c:v>
                </c:pt>
                <c:pt idx="6">
                  <c:v>3.15</c:v>
                </c:pt>
                <c:pt idx="7">
                  <c:v>3.17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38-46D2-9F05-0E64CC2DA846}"/>
            </c:ext>
          </c:extLst>
        </c:ser>
        <c:ser>
          <c:idx val="8"/>
          <c:order val="3"/>
          <c:tx>
            <c:v>F200</c:v>
          </c:tx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程式預測!$K$14:$K$21</c:f>
              <c:numCache>
                <c:formatCode>General</c:formatCode>
                <c:ptCount val="8"/>
                <c:pt idx="0">
                  <c:v>1.34</c:v>
                </c:pt>
                <c:pt idx="1">
                  <c:v>1.77</c:v>
                </c:pt>
                <c:pt idx="2">
                  <c:v>2.1</c:v>
                </c:pt>
                <c:pt idx="3">
                  <c:v>2.92</c:v>
                </c:pt>
                <c:pt idx="4">
                  <c:v>3.54</c:v>
                </c:pt>
                <c:pt idx="5">
                  <c:v>3.98</c:v>
                </c:pt>
                <c:pt idx="6">
                  <c:v>4.2</c:v>
                </c:pt>
                <c:pt idx="7">
                  <c:v>4.22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38-46D2-9F05-0E64CC2DA846}"/>
            </c:ext>
          </c:extLst>
        </c:ser>
        <c:ser>
          <c:idx val="9"/>
          <c:order val="4"/>
          <c:tx>
            <c:v>F250</c:v>
          </c:tx>
          <c:xVal>
            <c:numRef>
              <c:f>程式預測!$G$14:$G$21</c:f>
              <c:numCache>
                <c:formatCode>0_);[Red]\(0\)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</c:numCache>
            </c:numRef>
          </c:xVal>
          <c:yVal>
            <c:numRef>
              <c:f>程式預測!$L$14:$L$21</c:f>
              <c:numCache>
                <c:formatCode>General</c:formatCode>
                <c:ptCount val="8"/>
                <c:pt idx="0">
                  <c:v>1.68</c:v>
                </c:pt>
                <c:pt idx="1">
                  <c:v>2.21</c:v>
                </c:pt>
                <c:pt idx="2">
                  <c:v>2.63</c:v>
                </c:pt>
                <c:pt idx="3">
                  <c:v>3.65</c:v>
                </c:pt>
                <c:pt idx="4">
                  <c:v>4.42</c:v>
                </c:pt>
                <c:pt idx="5">
                  <c:v>4.97</c:v>
                </c:pt>
                <c:pt idx="6">
                  <c:v>5.25</c:v>
                </c:pt>
                <c:pt idx="7">
                  <c:v>5.28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38-46D2-9F05-0E64CC2DA846}"/>
            </c:ext>
          </c:extLst>
        </c:ser>
        <c:ser>
          <c:idx val="0"/>
          <c:order val="5"/>
          <c:tx>
            <c:v>T50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程式試驗!$K$24:$K$31</c:f>
              <c:numCache>
                <c:formatCode>General</c:formatCode>
                <c:ptCount val="8"/>
                <c:pt idx="0">
                  <c:v>7.8</c:v>
                </c:pt>
                <c:pt idx="1">
                  <c:v>12.1</c:v>
                </c:pt>
                <c:pt idx="2">
                  <c:v>17.100000000000001</c:v>
                </c:pt>
                <c:pt idx="3">
                  <c:v>31.1</c:v>
                </c:pt>
                <c:pt idx="4">
                  <c:v>47</c:v>
                </c:pt>
                <c:pt idx="5">
                  <c:v>62.2</c:v>
                </c:pt>
                <c:pt idx="6">
                  <c:v>76.8</c:v>
                </c:pt>
                <c:pt idx="7">
                  <c:v>90.5</c:v>
                </c:pt>
              </c:numCache>
            </c:numRef>
          </c:xVal>
          <c:yVal>
            <c:numRef>
              <c:f>程式試驗!$L$24:$L$31</c:f>
              <c:numCache>
                <c:formatCode>General</c:formatCode>
                <c:ptCount val="8"/>
                <c:pt idx="0">
                  <c:v>0.41</c:v>
                </c:pt>
                <c:pt idx="1">
                  <c:v>0.47</c:v>
                </c:pt>
                <c:pt idx="2">
                  <c:v>0.56000000000000005</c:v>
                </c:pt>
                <c:pt idx="3">
                  <c:v>0.77</c:v>
                </c:pt>
                <c:pt idx="4">
                  <c:v>0.89</c:v>
                </c:pt>
                <c:pt idx="5">
                  <c:v>1.01</c:v>
                </c:pt>
                <c:pt idx="6">
                  <c:v>1.03</c:v>
                </c:pt>
                <c:pt idx="7">
                  <c:v>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38-46D2-9F05-0E64CC2DA846}"/>
            </c:ext>
          </c:extLst>
        </c:ser>
        <c:ser>
          <c:idx val="1"/>
          <c:order val="6"/>
          <c:tx>
            <c:v>T100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程式試驗!$M$24:$M$31</c:f>
              <c:numCache>
                <c:formatCode>General</c:formatCode>
                <c:ptCount val="8"/>
                <c:pt idx="0">
                  <c:v>7.6</c:v>
                </c:pt>
                <c:pt idx="1">
                  <c:v>11.8</c:v>
                </c:pt>
                <c:pt idx="2">
                  <c:v>16.399999999999999</c:v>
                </c:pt>
                <c:pt idx="3">
                  <c:v>30.6</c:v>
                </c:pt>
                <c:pt idx="4">
                  <c:v>46.2</c:v>
                </c:pt>
                <c:pt idx="5">
                  <c:v>59.8</c:v>
                </c:pt>
                <c:pt idx="6">
                  <c:v>76</c:v>
                </c:pt>
                <c:pt idx="7">
                  <c:v>91.5</c:v>
                </c:pt>
              </c:numCache>
            </c:numRef>
          </c:xVal>
          <c:yVal>
            <c:numRef>
              <c:f>程式試驗!$N$24:$N$31</c:f>
              <c:numCache>
                <c:formatCode>General</c:formatCode>
                <c:ptCount val="8"/>
                <c:pt idx="0">
                  <c:v>0.9</c:v>
                </c:pt>
                <c:pt idx="1">
                  <c:v>1.1200000000000001</c:v>
                </c:pt>
                <c:pt idx="2">
                  <c:v>1.29</c:v>
                </c:pt>
                <c:pt idx="3">
                  <c:v>1.59</c:v>
                </c:pt>
                <c:pt idx="4">
                  <c:v>1.84</c:v>
                </c:pt>
                <c:pt idx="5">
                  <c:v>2</c:v>
                </c:pt>
                <c:pt idx="6">
                  <c:v>2.1</c:v>
                </c:pt>
                <c:pt idx="7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38-46D2-9F05-0E64CC2DA846}"/>
            </c:ext>
          </c:extLst>
        </c:ser>
        <c:ser>
          <c:idx val="2"/>
          <c:order val="7"/>
          <c:tx>
            <c:v>T150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程式試驗!$O$24:$O$31</c:f>
              <c:numCache>
                <c:formatCode>General</c:formatCode>
                <c:ptCount val="8"/>
                <c:pt idx="0">
                  <c:v>6.9</c:v>
                </c:pt>
                <c:pt idx="1">
                  <c:v>11.5</c:v>
                </c:pt>
                <c:pt idx="2">
                  <c:v>16.2</c:v>
                </c:pt>
                <c:pt idx="3">
                  <c:v>30.1</c:v>
                </c:pt>
                <c:pt idx="4">
                  <c:v>45.9</c:v>
                </c:pt>
                <c:pt idx="5">
                  <c:v>61.1</c:v>
                </c:pt>
                <c:pt idx="6">
                  <c:v>76</c:v>
                </c:pt>
                <c:pt idx="7">
                  <c:v>90.1</c:v>
                </c:pt>
              </c:numCache>
            </c:numRef>
          </c:xVal>
          <c:yVal>
            <c:numRef>
              <c:f>程式試驗!$P$24:$P$31</c:f>
              <c:numCache>
                <c:formatCode>General</c:formatCode>
                <c:ptCount val="8"/>
                <c:pt idx="0">
                  <c:v>1.46</c:v>
                </c:pt>
                <c:pt idx="1">
                  <c:v>1.71</c:v>
                </c:pt>
                <c:pt idx="2">
                  <c:v>1.91</c:v>
                </c:pt>
                <c:pt idx="3">
                  <c:v>2.4</c:v>
                </c:pt>
                <c:pt idx="4">
                  <c:v>2.8</c:v>
                </c:pt>
                <c:pt idx="5">
                  <c:v>3.02</c:v>
                </c:pt>
                <c:pt idx="6">
                  <c:v>3.2</c:v>
                </c:pt>
                <c:pt idx="7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138-46D2-9F05-0E64CC2DA846}"/>
            </c:ext>
          </c:extLst>
        </c:ser>
        <c:ser>
          <c:idx val="3"/>
          <c:order val="8"/>
          <c:tx>
            <c:v>T200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程式試驗!$Q$24:$Q$31</c:f>
              <c:numCache>
                <c:formatCode>General</c:formatCode>
                <c:ptCount val="8"/>
                <c:pt idx="0">
                  <c:v>7.1</c:v>
                </c:pt>
                <c:pt idx="1">
                  <c:v>12</c:v>
                </c:pt>
                <c:pt idx="2">
                  <c:v>16</c:v>
                </c:pt>
                <c:pt idx="3">
                  <c:v>29.7</c:v>
                </c:pt>
                <c:pt idx="4">
                  <c:v>44</c:v>
                </c:pt>
                <c:pt idx="5">
                  <c:v>60.5</c:v>
                </c:pt>
                <c:pt idx="6">
                  <c:v>75.3</c:v>
                </c:pt>
                <c:pt idx="7">
                  <c:v>90.2</c:v>
                </c:pt>
              </c:numCache>
            </c:numRef>
          </c:xVal>
          <c:yVal>
            <c:numRef>
              <c:f>程式試驗!$R$24:$R$31</c:f>
              <c:numCache>
                <c:formatCode>General</c:formatCode>
                <c:ptCount val="8"/>
                <c:pt idx="0">
                  <c:v>1.93</c:v>
                </c:pt>
                <c:pt idx="1">
                  <c:v>2.4</c:v>
                </c:pt>
                <c:pt idx="2">
                  <c:v>2.62</c:v>
                </c:pt>
                <c:pt idx="3">
                  <c:v>3.15</c:v>
                </c:pt>
                <c:pt idx="4">
                  <c:v>3.62</c:v>
                </c:pt>
                <c:pt idx="5">
                  <c:v>3.82</c:v>
                </c:pt>
                <c:pt idx="6">
                  <c:v>4.2</c:v>
                </c:pt>
                <c:pt idx="7">
                  <c:v>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138-46D2-9F05-0E64CC2DA846}"/>
            </c:ext>
          </c:extLst>
        </c:ser>
        <c:ser>
          <c:idx val="4"/>
          <c:order val="9"/>
          <c:tx>
            <c:v>T250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程式試驗!$S$24:$S$31</c:f>
              <c:numCache>
                <c:formatCode>General</c:formatCode>
                <c:ptCount val="8"/>
                <c:pt idx="0">
                  <c:v>7.6</c:v>
                </c:pt>
                <c:pt idx="1">
                  <c:v>11.8</c:v>
                </c:pt>
                <c:pt idx="2">
                  <c:v>16.100000000000001</c:v>
                </c:pt>
                <c:pt idx="3">
                  <c:v>29.8</c:v>
                </c:pt>
                <c:pt idx="4">
                  <c:v>44.5</c:v>
                </c:pt>
                <c:pt idx="5">
                  <c:v>59.5</c:v>
                </c:pt>
                <c:pt idx="6">
                  <c:v>75.8</c:v>
                </c:pt>
                <c:pt idx="7">
                  <c:v>90</c:v>
                </c:pt>
              </c:numCache>
            </c:numRef>
          </c:xVal>
          <c:yVal>
            <c:numRef>
              <c:f>程式試驗!$T$24:$T$31</c:f>
              <c:numCache>
                <c:formatCode>General</c:formatCode>
                <c:ptCount val="8"/>
                <c:pt idx="0">
                  <c:v>2.62</c:v>
                </c:pt>
                <c:pt idx="1">
                  <c:v>2.98</c:v>
                </c:pt>
                <c:pt idx="2">
                  <c:v>3.19</c:v>
                </c:pt>
                <c:pt idx="3">
                  <c:v>3.86</c:v>
                </c:pt>
                <c:pt idx="4">
                  <c:v>4.53</c:v>
                </c:pt>
                <c:pt idx="5">
                  <c:v>5.0199999999999996</c:v>
                </c:pt>
                <c:pt idx="6">
                  <c:v>5.34</c:v>
                </c:pt>
                <c:pt idx="7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138-46D2-9F05-0E64CC2DA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29808"/>
        <c:axId val="862630288"/>
      </c:scatterChart>
      <c:valAx>
        <c:axId val="86262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角度</a:t>
                </a:r>
                <a:r>
                  <a:rPr lang="en-US" altLang="zh-TW"/>
                  <a:t>(degree)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30288"/>
        <c:crosses val="autoZero"/>
        <c:crossBetween val="midCat"/>
      </c:valAx>
      <c:valAx>
        <c:axId val="86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氣壓值</a:t>
                </a:r>
                <a:r>
                  <a:rPr lang="en-US" altLang="zh-TW"/>
                  <a:t>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62629808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8.xml"/><Relationship Id="rId18" Type="http://schemas.openxmlformats.org/officeDocument/2006/relationships/chart" Target="../charts/chart33.xml"/><Relationship Id="rId3" Type="http://schemas.openxmlformats.org/officeDocument/2006/relationships/chart" Target="../charts/chart18.xml"/><Relationship Id="rId21" Type="http://schemas.openxmlformats.org/officeDocument/2006/relationships/chart" Target="../charts/chart36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17" Type="http://schemas.openxmlformats.org/officeDocument/2006/relationships/chart" Target="../charts/chart32.xml"/><Relationship Id="rId2" Type="http://schemas.openxmlformats.org/officeDocument/2006/relationships/chart" Target="../charts/chart17.xml"/><Relationship Id="rId16" Type="http://schemas.openxmlformats.org/officeDocument/2006/relationships/chart" Target="../charts/chart31.xml"/><Relationship Id="rId20" Type="http://schemas.openxmlformats.org/officeDocument/2006/relationships/chart" Target="../charts/chart35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24" Type="http://schemas.openxmlformats.org/officeDocument/2006/relationships/chart" Target="../charts/chart39.xml"/><Relationship Id="rId5" Type="http://schemas.openxmlformats.org/officeDocument/2006/relationships/chart" Target="../charts/chart20.xml"/><Relationship Id="rId15" Type="http://schemas.openxmlformats.org/officeDocument/2006/relationships/chart" Target="../charts/chart30.xml"/><Relationship Id="rId23" Type="http://schemas.openxmlformats.org/officeDocument/2006/relationships/chart" Target="../charts/chart38.xml"/><Relationship Id="rId10" Type="http://schemas.openxmlformats.org/officeDocument/2006/relationships/chart" Target="../charts/chart25.xml"/><Relationship Id="rId19" Type="http://schemas.openxmlformats.org/officeDocument/2006/relationships/chart" Target="../charts/chart34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Relationship Id="rId22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18</xdr:row>
      <xdr:rowOff>22860</xdr:rowOff>
    </xdr:from>
    <xdr:to>
      <xdr:col>25</xdr:col>
      <xdr:colOff>137160</xdr:colOff>
      <xdr:row>31</xdr:row>
      <xdr:rowOff>68580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B64FEF25-F155-4D2B-B414-1675B4956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289560</xdr:colOff>
      <xdr:row>18</xdr:row>
      <xdr:rowOff>0</xdr:rowOff>
    </xdr:from>
    <xdr:to>
      <xdr:col>31</xdr:col>
      <xdr:colOff>426720</xdr:colOff>
      <xdr:row>31</xdr:row>
      <xdr:rowOff>45720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6C7FCFD8-B305-46FA-A73A-43576F2B7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502920</xdr:colOff>
      <xdr:row>18</xdr:row>
      <xdr:rowOff>0</xdr:rowOff>
    </xdr:from>
    <xdr:to>
      <xdr:col>37</xdr:col>
      <xdr:colOff>640080</xdr:colOff>
      <xdr:row>31</xdr:row>
      <xdr:rowOff>45720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4D887523-7E11-485F-BCEB-557E8E777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3</xdr:row>
      <xdr:rowOff>22860</xdr:rowOff>
    </xdr:from>
    <xdr:to>
      <xdr:col>25</xdr:col>
      <xdr:colOff>137160</xdr:colOff>
      <xdr:row>16</xdr:row>
      <xdr:rowOff>76200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7C69DBDA-0D19-45FA-BFE1-715189C6C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289560</xdr:colOff>
      <xdr:row>3</xdr:row>
      <xdr:rowOff>0</xdr:rowOff>
    </xdr:from>
    <xdr:to>
      <xdr:col>31</xdr:col>
      <xdr:colOff>426720</xdr:colOff>
      <xdr:row>16</xdr:row>
      <xdr:rowOff>53340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09870B36-391D-4233-A7FB-6EEF19204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502920</xdr:colOff>
      <xdr:row>3</xdr:row>
      <xdr:rowOff>0</xdr:rowOff>
    </xdr:from>
    <xdr:to>
      <xdr:col>37</xdr:col>
      <xdr:colOff>640080</xdr:colOff>
      <xdr:row>16</xdr:row>
      <xdr:rowOff>53340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56EDD0A7-9A54-4E13-B8E0-929C3747E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190500</xdr:rowOff>
    </xdr:from>
    <xdr:to>
      <xdr:col>37</xdr:col>
      <xdr:colOff>137160</xdr:colOff>
      <xdr:row>16</xdr:row>
      <xdr:rowOff>22860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E943F46-373D-4EBE-8747-99CC6756B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0</xdr:colOff>
      <xdr:row>3</xdr:row>
      <xdr:rowOff>0</xdr:rowOff>
    </xdr:from>
    <xdr:to>
      <xdr:col>51</xdr:col>
      <xdr:colOff>137160</xdr:colOff>
      <xdr:row>16</xdr:row>
      <xdr:rowOff>45720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42BA122-C4C5-4041-B863-DF5BA4680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17</xdr:row>
      <xdr:rowOff>0</xdr:rowOff>
    </xdr:from>
    <xdr:to>
      <xdr:col>37</xdr:col>
      <xdr:colOff>137160</xdr:colOff>
      <xdr:row>30</xdr:row>
      <xdr:rowOff>45720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6306E263-2CED-4E57-964B-89E846849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17</xdr:row>
      <xdr:rowOff>22860</xdr:rowOff>
    </xdr:from>
    <xdr:to>
      <xdr:col>44</xdr:col>
      <xdr:colOff>137160</xdr:colOff>
      <xdr:row>30</xdr:row>
      <xdr:rowOff>68580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D42111EA-CCA6-406A-AF57-AEABFAB70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17</xdr:row>
      <xdr:rowOff>22860</xdr:rowOff>
    </xdr:from>
    <xdr:to>
      <xdr:col>51</xdr:col>
      <xdr:colOff>137160</xdr:colOff>
      <xdr:row>30</xdr:row>
      <xdr:rowOff>68580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4702D00E-6A7A-454E-927E-4B8173631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3</xdr:row>
      <xdr:rowOff>0</xdr:rowOff>
    </xdr:from>
    <xdr:to>
      <xdr:col>44</xdr:col>
      <xdr:colOff>137160</xdr:colOff>
      <xdr:row>16</xdr:row>
      <xdr:rowOff>45720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030CA560-AB1C-4F84-9F37-50250A6FE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31</xdr:row>
      <xdr:rowOff>0</xdr:rowOff>
    </xdr:from>
    <xdr:to>
      <xdr:col>37</xdr:col>
      <xdr:colOff>137160</xdr:colOff>
      <xdr:row>44</xdr:row>
      <xdr:rowOff>68580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CCE7DF6A-C069-42F4-AA99-3A7074E74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0</xdr:colOff>
      <xdr:row>31</xdr:row>
      <xdr:rowOff>22860</xdr:rowOff>
    </xdr:from>
    <xdr:to>
      <xdr:col>44</xdr:col>
      <xdr:colOff>137160</xdr:colOff>
      <xdr:row>44</xdr:row>
      <xdr:rowOff>91440</xdr:rowOff>
    </xdr:to>
    <xdr:graphicFrame macro="">
      <xdr:nvGraphicFramePr>
        <xdr:cNvPr id="19" name="圖表 18">
          <a:extLst>
            <a:ext uri="{FF2B5EF4-FFF2-40B4-BE49-F238E27FC236}">
              <a16:creationId xmlns:a16="http://schemas.microsoft.com/office/drawing/2014/main" id="{CD0268F2-43D1-4A46-B4C9-CC3C3CDDD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0</xdr:colOff>
      <xdr:row>31</xdr:row>
      <xdr:rowOff>22860</xdr:rowOff>
    </xdr:from>
    <xdr:to>
      <xdr:col>51</xdr:col>
      <xdr:colOff>137160</xdr:colOff>
      <xdr:row>44</xdr:row>
      <xdr:rowOff>91440</xdr:rowOff>
    </xdr:to>
    <xdr:graphicFrame macro="">
      <xdr:nvGraphicFramePr>
        <xdr:cNvPr id="20" name="圖表 19">
          <a:extLst>
            <a:ext uri="{FF2B5EF4-FFF2-40B4-BE49-F238E27FC236}">
              <a16:creationId xmlns:a16="http://schemas.microsoft.com/office/drawing/2014/main" id="{84F29151-9C8E-479C-A0D5-88E32B1E8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22860</xdr:rowOff>
    </xdr:from>
    <xdr:to>
      <xdr:col>6</xdr:col>
      <xdr:colOff>137160</xdr:colOff>
      <xdr:row>29</xdr:row>
      <xdr:rowOff>91440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83016D6-93B0-4FEE-B333-CA406704F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289560</xdr:colOff>
      <xdr:row>16</xdr:row>
      <xdr:rowOff>0</xdr:rowOff>
    </xdr:from>
    <xdr:to>
      <xdr:col>12</xdr:col>
      <xdr:colOff>426720</xdr:colOff>
      <xdr:row>29</xdr:row>
      <xdr:rowOff>68580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BB15250-C971-4B4D-9365-5BA774298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502920</xdr:colOff>
      <xdr:row>16</xdr:row>
      <xdr:rowOff>0</xdr:rowOff>
    </xdr:from>
    <xdr:to>
      <xdr:col>19</xdr:col>
      <xdr:colOff>289560</xdr:colOff>
      <xdr:row>29</xdr:row>
      <xdr:rowOff>68580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BEFFF71-5AA4-419F-B768-1CFF74191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</xdr:row>
      <xdr:rowOff>22860</xdr:rowOff>
    </xdr:from>
    <xdr:to>
      <xdr:col>6</xdr:col>
      <xdr:colOff>137160</xdr:colOff>
      <xdr:row>14</xdr:row>
      <xdr:rowOff>76200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856A6685-8CB4-46F0-BD74-D5854099E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289560</xdr:colOff>
      <xdr:row>1</xdr:row>
      <xdr:rowOff>0</xdr:rowOff>
    </xdr:from>
    <xdr:to>
      <xdr:col>12</xdr:col>
      <xdr:colOff>426720</xdr:colOff>
      <xdr:row>14</xdr:row>
      <xdr:rowOff>53340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6458235E-377E-478B-A824-CE5A7C2FD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502920</xdr:colOff>
      <xdr:row>1</xdr:row>
      <xdr:rowOff>0</xdr:rowOff>
    </xdr:from>
    <xdr:to>
      <xdr:col>19</xdr:col>
      <xdr:colOff>289560</xdr:colOff>
      <xdr:row>14</xdr:row>
      <xdr:rowOff>53340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52B29C6A-7D99-4091-A4EB-D6FDF110A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182880</xdr:colOff>
      <xdr:row>44</xdr:row>
      <xdr:rowOff>144780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BFFA87F9-C972-43F2-9109-9D4291B0E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106680</xdr:colOff>
      <xdr:row>31</xdr:row>
      <xdr:rowOff>22860</xdr:rowOff>
    </xdr:from>
    <xdr:to>
      <xdr:col>21</xdr:col>
      <xdr:colOff>198120</xdr:colOff>
      <xdr:row>44</xdr:row>
      <xdr:rowOff>167640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AD2E53D6-3A26-4A49-8F4F-D1D1034C6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45</xdr:row>
      <xdr:rowOff>129540</xdr:rowOff>
    </xdr:from>
    <xdr:to>
      <xdr:col>6</xdr:col>
      <xdr:colOff>182880</xdr:colOff>
      <xdr:row>59</xdr:row>
      <xdr:rowOff>68580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3D3842BC-82DB-4EC9-826D-B0342EBED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53340</xdr:colOff>
      <xdr:row>45</xdr:row>
      <xdr:rowOff>152400</xdr:rowOff>
    </xdr:from>
    <xdr:to>
      <xdr:col>13</xdr:col>
      <xdr:colOff>236220</xdr:colOff>
      <xdr:row>59</xdr:row>
      <xdr:rowOff>91440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A180F4A1-6E58-4B3C-8119-5BE8A7EC3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106680</xdr:colOff>
      <xdr:row>45</xdr:row>
      <xdr:rowOff>152400</xdr:rowOff>
    </xdr:from>
    <xdr:to>
      <xdr:col>21</xdr:col>
      <xdr:colOff>198120</xdr:colOff>
      <xdr:row>59</xdr:row>
      <xdr:rowOff>91440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89F00626-83D4-420D-8C54-959EBFE41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53340</xdr:colOff>
      <xdr:row>31</xdr:row>
      <xdr:rowOff>22860</xdr:rowOff>
    </xdr:from>
    <xdr:to>
      <xdr:col>13</xdr:col>
      <xdr:colOff>236220</xdr:colOff>
      <xdr:row>44</xdr:row>
      <xdr:rowOff>167640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176A6213-7A20-4148-B6AB-7402D6E37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60</xdr:row>
      <xdr:rowOff>30480</xdr:rowOff>
    </xdr:from>
    <xdr:to>
      <xdr:col>6</xdr:col>
      <xdr:colOff>182880</xdr:colOff>
      <xdr:row>73</xdr:row>
      <xdr:rowOff>198120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9CB7D6B8-51A5-4F40-9C5B-0F3B6C2D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53340</xdr:colOff>
      <xdr:row>60</xdr:row>
      <xdr:rowOff>53340</xdr:rowOff>
    </xdr:from>
    <xdr:to>
      <xdr:col>13</xdr:col>
      <xdr:colOff>236220</xdr:colOff>
      <xdr:row>74</xdr:row>
      <xdr:rowOff>15240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B8B71DF2-BCE3-482C-B702-5A8598C56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106680</xdr:colOff>
      <xdr:row>60</xdr:row>
      <xdr:rowOff>53340</xdr:rowOff>
    </xdr:from>
    <xdr:to>
      <xdr:col>21</xdr:col>
      <xdr:colOff>198120</xdr:colOff>
      <xdr:row>74</xdr:row>
      <xdr:rowOff>15240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E3902BE0-4ACE-4567-A556-7EF5668D3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25</xdr:row>
      <xdr:rowOff>22860</xdr:rowOff>
    </xdr:from>
    <xdr:to>
      <xdr:col>31</xdr:col>
      <xdr:colOff>292383</xdr:colOff>
      <xdr:row>38</xdr:row>
      <xdr:rowOff>91440</xdr:rowOff>
    </xdr:to>
    <xdr:graphicFrame macro="">
      <xdr:nvGraphicFramePr>
        <xdr:cNvPr id="23" name="圖表 22">
          <a:extLst>
            <a:ext uri="{FF2B5EF4-FFF2-40B4-BE49-F238E27FC236}">
              <a16:creationId xmlns:a16="http://schemas.microsoft.com/office/drawing/2014/main" id="{60FDA6EF-3EA1-4408-8A18-C02135C26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0</xdr:colOff>
      <xdr:row>7</xdr:row>
      <xdr:rowOff>0</xdr:rowOff>
    </xdr:from>
    <xdr:to>
      <xdr:col>31</xdr:col>
      <xdr:colOff>311332</xdr:colOff>
      <xdr:row>20</xdr:row>
      <xdr:rowOff>50115</xdr:rowOff>
    </xdr:to>
    <xdr:graphicFrame macro="">
      <xdr:nvGraphicFramePr>
        <xdr:cNvPr id="29" name="圖表 28">
          <a:extLst>
            <a:ext uri="{FF2B5EF4-FFF2-40B4-BE49-F238E27FC236}">
              <a16:creationId xmlns:a16="http://schemas.microsoft.com/office/drawing/2014/main" id="{D0404046-AAC5-4240-AD60-A838C172C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32</xdr:col>
      <xdr:colOff>0</xdr:colOff>
      <xdr:row>7</xdr:row>
      <xdr:rowOff>0</xdr:rowOff>
    </xdr:from>
    <xdr:to>
      <xdr:col>39</xdr:col>
      <xdr:colOff>304429</xdr:colOff>
      <xdr:row>20</xdr:row>
      <xdr:rowOff>57816</xdr:rowOff>
    </xdr:to>
    <xdr:graphicFrame macro="">
      <xdr:nvGraphicFramePr>
        <xdr:cNvPr id="30" name="圖表 29">
          <a:extLst>
            <a:ext uri="{FF2B5EF4-FFF2-40B4-BE49-F238E27FC236}">
              <a16:creationId xmlns:a16="http://schemas.microsoft.com/office/drawing/2014/main" id="{DEDA62A6-CBAD-418B-AAA0-607F496F7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40</xdr:col>
      <xdr:colOff>1</xdr:colOff>
      <xdr:row>7</xdr:row>
      <xdr:rowOff>0</xdr:rowOff>
    </xdr:from>
    <xdr:to>
      <xdr:col>47</xdr:col>
      <xdr:colOff>307030</xdr:colOff>
      <xdr:row>20</xdr:row>
      <xdr:rowOff>57816</xdr:rowOff>
    </xdr:to>
    <xdr:graphicFrame macro="">
      <xdr:nvGraphicFramePr>
        <xdr:cNvPr id="31" name="圖表 30">
          <a:extLst>
            <a:ext uri="{FF2B5EF4-FFF2-40B4-BE49-F238E27FC236}">
              <a16:creationId xmlns:a16="http://schemas.microsoft.com/office/drawing/2014/main" id="{5E0C1921-B91F-4FC7-9679-CF3E15FC1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40</xdr:col>
      <xdr:colOff>0</xdr:colOff>
      <xdr:row>25</xdr:row>
      <xdr:rowOff>0</xdr:rowOff>
    </xdr:from>
    <xdr:to>
      <xdr:col>47</xdr:col>
      <xdr:colOff>294640</xdr:colOff>
      <xdr:row>38</xdr:row>
      <xdr:rowOff>68580</xdr:rowOff>
    </xdr:to>
    <xdr:graphicFrame macro="">
      <xdr:nvGraphicFramePr>
        <xdr:cNvPr id="35" name="圖表 34">
          <a:extLst>
            <a:ext uri="{FF2B5EF4-FFF2-40B4-BE49-F238E27FC236}">
              <a16:creationId xmlns:a16="http://schemas.microsoft.com/office/drawing/2014/main" id="{E9BB061A-1BE0-4C62-A876-8735BAF7D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24</xdr:col>
      <xdr:colOff>0</xdr:colOff>
      <xdr:row>41</xdr:row>
      <xdr:rowOff>0</xdr:rowOff>
    </xdr:from>
    <xdr:to>
      <xdr:col>31</xdr:col>
      <xdr:colOff>321091</xdr:colOff>
      <xdr:row>54</xdr:row>
      <xdr:rowOff>68581</xdr:rowOff>
    </xdr:to>
    <xdr:graphicFrame macro="">
      <xdr:nvGraphicFramePr>
        <xdr:cNvPr id="39" name="圖表 38">
          <a:extLst>
            <a:ext uri="{FF2B5EF4-FFF2-40B4-BE49-F238E27FC236}">
              <a16:creationId xmlns:a16="http://schemas.microsoft.com/office/drawing/2014/main" id="{3B51A4C3-CEA2-42BF-AA2B-3CE339F0D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40</xdr:col>
      <xdr:colOff>0</xdr:colOff>
      <xdr:row>41</xdr:row>
      <xdr:rowOff>0</xdr:rowOff>
    </xdr:from>
    <xdr:to>
      <xdr:col>47</xdr:col>
      <xdr:colOff>303250</xdr:colOff>
      <xdr:row>54</xdr:row>
      <xdr:rowOff>68580</xdr:rowOff>
    </xdr:to>
    <xdr:graphicFrame macro="">
      <xdr:nvGraphicFramePr>
        <xdr:cNvPr id="40" name="圖表 39">
          <a:extLst>
            <a:ext uri="{FF2B5EF4-FFF2-40B4-BE49-F238E27FC236}">
              <a16:creationId xmlns:a16="http://schemas.microsoft.com/office/drawing/2014/main" id="{2261C9F4-752A-4506-8EA0-7C1EE861A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0</xdr:colOff>
      <xdr:row>25</xdr:row>
      <xdr:rowOff>0</xdr:rowOff>
    </xdr:from>
    <xdr:to>
      <xdr:col>39</xdr:col>
      <xdr:colOff>298192</xdr:colOff>
      <xdr:row>38</xdr:row>
      <xdr:rowOff>68580</xdr:rowOff>
    </xdr:to>
    <xdr:graphicFrame macro="">
      <xdr:nvGraphicFramePr>
        <xdr:cNvPr id="41" name="圖表 40">
          <a:extLst>
            <a:ext uri="{FF2B5EF4-FFF2-40B4-BE49-F238E27FC236}">
              <a16:creationId xmlns:a16="http://schemas.microsoft.com/office/drawing/2014/main" id="{301DCE45-4FA7-414B-9B35-351067A57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32</xdr:col>
      <xdr:colOff>0</xdr:colOff>
      <xdr:row>41</xdr:row>
      <xdr:rowOff>0</xdr:rowOff>
    </xdr:from>
    <xdr:to>
      <xdr:col>39</xdr:col>
      <xdr:colOff>310629</xdr:colOff>
      <xdr:row>54</xdr:row>
      <xdr:rowOff>68580</xdr:rowOff>
    </xdr:to>
    <xdr:graphicFrame macro="">
      <xdr:nvGraphicFramePr>
        <xdr:cNvPr id="42" name="圖表 41">
          <a:extLst>
            <a:ext uri="{FF2B5EF4-FFF2-40B4-BE49-F238E27FC236}">
              <a16:creationId xmlns:a16="http://schemas.microsoft.com/office/drawing/2014/main" id="{0CDCCD18-61DE-45CD-837C-7273C5A14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F39A-7955-4E20-AB05-E00A164FCE7D}">
  <dimension ref="A1:R14"/>
  <sheetViews>
    <sheetView workbookViewId="0">
      <selection activeCell="J20" sqref="J20"/>
    </sheetView>
  </sheetViews>
  <sheetFormatPr defaultColWidth="8.875" defaultRowHeight="16.5" x14ac:dyDescent="0.25"/>
  <cols>
    <col min="1" max="1" width="8.875" style="10"/>
    <col min="2" max="6" width="10.75" style="10" customWidth="1"/>
    <col min="7" max="7" width="8.875" style="10"/>
    <col min="8" max="12" width="10.75" style="10" customWidth="1"/>
    <col min="13" max="13" width="8.875" style="10"/>
    <col min="14" max="16" width="10.75" style="10" customWidth="1"/>
    <col min="17" max="18" width="11.75" style="10" customWidth="1"/>
    <col min="19" max="16384" width="8.875" style="10"/>
  </cols>
  <sheetData>
    <row r="1" spans="1:18" x14ac:dyDescent="0.25">
      <c r="A1" s="62" t="s">
        <v>20</v>
      </c>
      <c r="B1" s="63"/>
      <c r="C1" s="64"/>
      <c r="D1" s="33" t="s">
        <v>22</v>
      </c>
      <c r="E1" s="60" t="s">
        <v>21</v>
      </c>
      <c r="F1" s="60"/>
      <c r="G1" s="60"/>
      <c r="H1" s="60"/>
      <c r="I1" s="33" t="s">
        <v>28</v>
      </c>
      <c r="J1" s="43" t="s">
        <v>29</v>
      </c>
    </row>
    <row r="2" spans="1:18" x14ac:dyDescent="0.25">
      <c r="A2" s="34" t="s">
        <v>18</v>
      </c>
      <c r="B2" s="32">
        <v>370</v>
      </c>
      <c r="C2" s="32">
        <v>450</v>
      </c>
      <c r="D2" s="32" t="s">
        <v>23</v>
      </c>
      <c r="E2" s="59" t="s">
        <v>24</v>
      </c>
      <c r="F2" s="59"/>
      <c r="G2" s="59"/>
      <c r="H2" s="59"/>
      <c r="I2" s="32">
        <v>9.8066499999999994</v>
      </c>
      <c r="J2" s="44">
        <f>1/(I2*1000)</f>
        <v>1.0197162129779283E-4</v>
      </c>
      <c r="K2"/>
    </row>
    <row r="3" spans="1:18" ht="17.25" thickBot="1" x14ac:dyDescent="0.3">
      <c r="A3" s="35" t="s">
        <v>19</v>
      </c>
      <c r="B3" s="36">
        <v>650</v>
      </c>
      <c r="C3" s="36">
        <v>700</v>
      </c>
      <c r="D3" s="36"/>
      <c r="E3" s="61"/>
      <c r="F3" s="61"/>
      <c r="G3" s="61"/>
      <c r="H3" s="61"/>
      <c r="I3" s="36"/>
      <c r="J3" s="37"/>
    </row>
    <row r="4" spans="1:18" ht="17.25" thickBot="1" x14ac:dyDescent="0.3">
      <c r="H4" s="10">
        <v>1</v>
      </c>
    </row>
    <row r="5" spans="1:18" x14ac:dyDescent="0.25">
      <c r="A5" s="18" t="s">
        <v>3</v>
      </c>
      <c r="B5" s="19">
        <v>50</v>
      </c>
      <c r="C5" s="19">
        <v>100</v>
      </c>
      <c r="D5" s="19">
        <v>150</v>
      </c>
      <c r="E5" s="19">
        <v>200</v>
      </c>
      <c r="F5" s="20">
        <v>250</v>
      </c>
      <c r="G5" s="18" t="s">
        <v>3</v>
      </c>
      <c r="H5" s="19">
        <v>50</v>
      </c>
      <c r="I5" s="19">
        <v>100</v>
      </c>
      <c r="J5" s="19">
        <v>150</v>
      </c>
      <c r="K5" s="19">
        <v>200</v>
      </c>
      <c r="L5" s="20">
        <v>250</v>
      </c>
      <c r="M5" s="18" t="s">
        <v>3</v>
      </c>
      <c r="N5" s="19">
        <v>50</v>
      </c>
      <c r="O5" s="19">
        <v>100</v>
      </c>
      <c r="P5" s="19">
        <v>150</v>
      </c>
      <c r="Q5" s="19">
        <v>200</v>
      </c>
      <c r="R5" s="20">
        <v>250</v>
      </c>
    </row>
    <row r="6" spans="1:18" x14ac:dyDescent="0.25">
      <c r="A6" s="38" t="s">
        <v>27</v>
      </c>
      <c r="B6" s="45">
        <v>6</v>
      </c>
      <c r="C6" s="46"/>
      <c r="D6" s="46"/>
      <c r="E6" s="46"/>
      <c r="F6" s="47"/>
      <c r="G6" s="38" t="s">
        <v>27</v>
      </c>
      <c r="H6" s="45">
        <v>8</v>
      </c>
      <c r="I6" s="46"/>
      <c r="J6" s="46"/>
      <c r="K6" s="46"/>
      <c r="L6" s="47"/>
      <c r="M6" s="38" t="s">
        <v>27</v>
      </c>
      <c r="N6" s="45">
        <v>10</v>
      </c>
      <c r="O6" s="46"/>
      <c r="P6" s="46"/>
      <c r="Q6" s="46"/>
      <c r="R6" s="47"/>
    </row>
    <row r="7" spans="1:18" ht="17.25" thickBot="1" x14ac:dyDescent="0.3">
      <c r="A7" s="21" t="s">
        <v>1</v>
      </c>
      <c r="B7" s="54" t="s">
        <v>2</v>
      </c>
      <c r="C7" s="54"/>
      <c r="D7" s="54"/>
      <c r="E7" s="54"/>
      <c r="F7" s="55"/>
      <c r="G7" s="21" t="s">
        <v>1</v>
      </c>
      <c r="H7" s="54" t="s">
        <v>2</v>
      </c>
      <c r="I7" s="54"/>
      <c r="J7" s="54"/>
      <c r="K7" s="54"/>
      <c r="L7" s="55"/>
      <c r="M7" s="21" t="s">
        <v>1</v>
      </c>
      <c r="N7" s="54" t="s">
        <v>2</v>
      </c>
      <c r="O7" s="54"/>
      <c r="P7" s="54"/>
      <c r="Q7" s="54"/>
      <c r="R7" s="55"/>
    </row>
    <row r="8" spans="1:18" ht="17.25" thickBot="1" x14ac:dyDescent="0.3">
      <c r="A8" s="48" t="s">
        <v>25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50"/>
    </row>
    <row r="9" spans="1:18" x14ac:dyDescent="0.25">
      <c r="A9" s="56">
        <v>1</v>
      </c>
      <c r="B9" s="57"/>
      <c r="C9" s="57"/>
      <c r="D9" s="57"/>
      <c r="E9" s="57"/>
      <c r="F9" s="58"/>
      <c r="G9" s="56">
        <v>1.5</v>
      </c>
      <c r="H9" s="57"/>
      <c r="I9" s="57"/>
      <c r="J9" s="57"/>
      <c r="K9" s="57"/>
      <c r="L9" s="58"/>
      <c r="M9" s="56">
        <v>2</v>
      </c>
      <c r="N9" s="57"/>
      <c r="O9" s="57"/>
      <c r="P9" s="57"/>
      <c r="Q9" s="57"/>
      <c r="R9" s="58"/>
    </row>
    <row r="10" spans="1:18" ht="17.25" thickBot="1" x14ac:dyDescent="0.3">
      <c r="A10" s="24" t="s">
        <v>0</v>
      </c>
      <c r="B10" s="39" t="str">
        <f>TEXT(B2*A9^2*B5/B6*(1+4*A9/B6)*J2, "0.00") &amp; " ~ " &amp; TEXT(C2*A9^2*B5/B6*(1+4*A9/B6)*J2, "0.00")</f>
        <v>0.52 ~ 0.64</v>
      </c>
      <c r="C10" s="6" t="str">
        <f>TEXT(B2*A9^2*C5/B6*(1+4*A9/B6)*J2, "0.00") &amp; " ~ " &amp; TEXT(C2*A9^2*C5/B6*(1+4*A9/B6)*J2, "0.00")</f>
        <v>1.05 ~ 1.27</v>
      </c>
      <c r="D10" s="6" t="str">
        <f>TEXT(B2*A9^2*D5/B6*(1+4*A9/B6)*J2, "0.00") &amp; " ~ " &amp; TEXT(C2*A9^2*D5/B6*(1+4*A9/B6)*J2, "0.00")</f>
        <v>1.57 ~ 1.91</v>
      </c>
      <c r="E10" s="6" t="str">
        <f>TEXT(B2*A9^2*E5/B6*(1+4*A9/B6)*J2, "0.00") &amp; " ~ " &amp; TEXT(C2*A9^2*E5/B6*(1+4*A9/B6)*J2, "0.00")</f>
        <v>2.10 ~ 2.55</v>
      </c>
      <c r="F10" s="6" t="str">
        <f>TEXT(B2*A9^2*F5/B6*(1+4*A9/B6)*J2, "0.00") &amp; " ~ " &amp; TEXT(C2*A9^2*F5/B6*(1+4*A9/B6)*J2, "0.00")</f>
        <v>2.62 ~ 3.19</v>
      </c>
      <c r="G10" s="24" t="s">
        <v>0</v>
      </c>
      <c r="H10" s="6" t="str">
        <f>TEXT(B2*G9^2*H5/H6*(1+4*G9/H6)*J2, "0.00") &amp; " ~ " &amp; TEXT(C2*G9^2*H5/H6*(1+4*G9/H6)*J2, "0.00")</f>
        <v>0.93 ~ 1.13</v>
      </c>
      <c r="I10" s="6" t="str">
        <f>TEXT(B2*G9^2*I5/H6*(1+4*G9/H6)*J2, "0.00") &amp; " ~ " &amp; TEXT(C2*G9^2*I5/H6*(1+4*G9/H6)*J2, "0.00")</f>
        <v>1.86 ~ 2.26</v>
      </c>
      <c r="J10" s="6" t="str">
        <f>TEXT(B2*G9^2*J5/H6*(1+4*G9/H6)*J2, "0.00") &amp; " ~ " &amp; TEXT(C2*G9^2*J5/H6*(1+4*G9/H6)*J2, "0.00")</f>
        <v>2.79 ~ 3.39</v>
      </c>
      <c r="K10" s="6" t="str">
        <f>TEXT(B2*G9^2*K5/H6*(1+4*G9/H6)*J2, "0.00") &amp; " ~ " &amp; TEXT(C2*G9^2*K5/H6*(1+4*G9/H6)*J2, "0.00")</f>
        <v>3.71 ~ 4.52</v>
      </c>
      <c r="L10" s="7" t="str">
        <f>TEXT(B2*G9^2*L5/H6*(1+4*G9/H6)*J2, "0.00") &amp; " ~ " &amp; TEXT(C2*G9^2*L5/H6*(1+4*G9/H6)*J2, "0.00")</f>
        <v>4.64 ~ 5.65</v>
      </c>
      <c r="M10" s="24" t="s">
        <v>0</v>
      </c>
      <c r="N10" s="6" t="str">
        <f>TEXT(B2*M9^2*N5/N6*(1+4*M9/N6)*J2, "0.00") &amp; " ~ " &amp; TEXT(C2*M9^2*N5/N6*(1+4*M9/N6)*J2, "0.00")</f>
        <v>1.36 ~ 1.65</v>
      </c>
      <c r="O10" s="6" t="str">
        <f>TEXT(B2*M9^2*O5/N6*(1+4*M9/N6)*J2, "0.00") &amp; " ~ " &amp; TEXT(C2*M9^2*O5/N6*(1+4*M9/N6)*J2, "0.00")</f>
        <v>2.72 ~ 3.30</v>
      </c>
      <c r="P10" s="6" t="str">
        <f>TEXT(B2*M9^2*P5/N6*(1+4*M9/N6)*J2, "0.00") &amp; " ~ " &amp; TEXT(C2*M9^2*P5/N6*(1+4*M9/N6)*J2, "0.00")</f>
        <v>4.07 ~ 4.96</v>
      </c>
      <c r="Q10" s="6" t="str">
        <f>TEXT(B2*M9^2*Q5/N6*(1+4*M9/N6)*J2, "0.00") &amp; " ~ " &amp; TEXT(C2*M9^2*Q5/N6*(1+4*M9/N6)*J2, "0.00")</f>
        <v>5.43 ~ 6.61</v>
      </c>
      <c r="R10" s="7" t="str">
        <f>TEXT(B2*M9^2*R5/N6*(1+4*M9/N6)*J2, "0.00") &amp; " ~ " &amp; TEXT(C2*M9^2*R5/N6*(1+4*M9/N6)*J2, "0.00")</f>
        <v>6.79 ~ 8.26</v>
      </c>
    </row>
    <row r="11" spans="1:18" ht="17.25" thickBot="1" x14ac:dyDescent="0.3">
      <c r="A11" s="51" t="s">
        <v>26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3"/>
    </row>
    <row r="12" spans="1:18" x14ac:dyDescent="0.25">
      <c r="A12" s="56">
        <v>1</v>
      </c>
      <c r="B12" s="57"/>
      <c r="C12" s="57"/>
      <c r="D12" s="57"/>
      <c r="E12" s="57"/>
      <c r="F12" s="58"/>
      <c r="G12" s="56">
        <v>1.5</v>
      </c>
      <c r="H12" s="57"/>
      <c r="I12" s="57"/>
      <c r="J12" s="57"/>
      <c r="K12" s="57"/>
      <c r="L12" s="58"/>
      <c r="M12" s="56">
        <v>2</v>
      </c>
      <c r="N12" s="57"/>
      <c r="O12" s="57"/>
      <c r="P12" s="57"/>
      <c r="Q12" s="57"/>
      <c r="R12" s="58"/>
    </row>
    <row r="13" spans="1:18" ht="17.25" thickBot="1" x14ac:dyDescent="0.3">
      <c r="A13" s="25" t="s">
        <v>0</v>
      </c>
      <c r="B13" s="42" t="str">
        <f>TEXT(B3*A9^2*B5/B6*(1+4*A9/B6)*J2, "0.00") &amp; " ~ " &amp; TEXT(C3*A9^2*B5/B6*(1+4*A9/B6)*J2, "0.00")</f>
        <v>0.92 ~ 0.99</v>
      </c>
      <c r="C13" s="14" t="str">
        <f>TEXT(B3*A9^2*C5/B6*(1+4*A9/B6)*J2, "0.00") &amp; " ~ " &amp; TEXT(C3*A9^2*C5/B6*(1+4*A9/B6)*J2, "0.00")</f>
        <v>1.84 ~ 1.98</v>
      </c>
      <c r="D13" s="14" t="str">
        <f>TEXT(B3*A9^2*D5/B6*(1+4*A9/B6)*J2, "0.00") &amp; " ~ " &amp; TEXT(C3*A9^2*D5/B6*(1+4*A9/B6)*J2, "0.00")</f>
        <v>2.76 ~ 2.97</v>
      </c>
      <c r="E13" s="14" t="str">
        <f>TEXT(B3*A9^2*E5/B6*(1+4*A9/B6)*J2, "0.00") &amp; " ~ " &amp; TEXT(C3*A9^2*E5/B6*(1+4*A9/B6)*J2, "0.00")</f>
        <v>3.68 ~ 3.97</v>
      </c>
      <c r="F13" s="14" t="str">
        <f>TEXT(B3*A9^2*F5/B6*(1+4*A9/B6)*J2, "0.00") &amp; " ~ " &amp; TEXT(C3*A9^2*F5/B6*(1+4*A9/B6)*J2, "0.00")</f>
        <v>4.60 ~ 4.96</v>
      </c>
      <c r="G13" s="25" t="s">
        <v>0</v>
      </c>
      <c r="H13" s="14" t="str">
        <f>TEXT(B3*G9^2*H5/H6*(1+4*G9/H6)*J2, "0.00") &amp; " ~ " &amp; TEXT(C3*G9^2*H5/H6*(1+4*G9/H6)*J2, "0.00")</f>
        <v>1.63 ~ 1.76</v>
      </c>
      <c r="I13" s="14" t="str">
        <f>TEXT(B3*G9^2*I5/H6*(1+4*G9/H6)*J2, "0.00") &amp; " ~ " &amp; TEXT(C3*G9^2*I5/H6*(1+4*G9/H6)*J2, "0.00")</f>
        <v>3.26 ~ 3.51</v>
      </c>
      <c r="J13" s="14" t="str">
        <f>TEXT(B3*G9^2*J5/H6*(1+4*G9/H6)*J2, "0.00") &amp; " ~ " &amp; TEXT(C3*G9^2*J5/H6*(1+4*G9/H6)*J2, "0.00")</f>
        <v>4.89 ~ 5.27</v>
      </c>
      <c r="K13" s="14" t="str">
        <f>TEXT(B3*G9^2*K5/H6*(1+4*G9/H6)*J2, "0.00") &amp; " ~ " &amp; TEXT(C3*G9^2*K5/H6*(1+4*G9/H6)*J2, "0.00")</f>
        <v>6.52 ~ 7.03</v>
      </c>
      <c r="L13" s="15" t="str">
        <f>TEXT(B3*G9^2*L5/H6*(1+4*G9/H6)*J2, "0.00") &amp; " ~ " &amp; TEXT(C3*G9^2*L5/H6*(1+4*G9/H6)*J2, "0.00")</f>
        <v>8.16 ~ 8.78</v>
      </c>
      <c r="M13" s="25" t="s">
        <v>0</v>
      </c>
      <c r="N13" s="14" t="str">
        <f>TEXT(B3*M9^2*N5/N6*(1+4*M9/N6)*J2, "0.00") &amp; " ~ " &amp; TEXT(C3*M9^2*N5/N6*(1+4*M9/N6)*J2, "0.00")</f>
        <v>2.39 ~ 2.57</v>
      </c>
      <c r="O13" s="14" t="str">
        <f>TEXT(B3*M9^2*O5/N6*(1+4*M9/N6)*J2, "0.00") &amp; " ~ " &amp; TEXT(C3*M9^2*O5/N6*(1+4*M9/N6)*J2, "0.00")</f>
        <v>4.77 ~ 5.14</v>
      </c>
      <c r="P13" s="14" t="str">
        <f>TEXT(B3*M9^2*P5/N6*(1+4*M9/N6)*J2, "0.00") &amp; " ~ " &amp; TEXT(C3*M9^2*P5/N6*(1+4*M9/N6)*J2, "0.00")</f>
        <v>7.16 ~ 7.71</v>
      </c>
      <c r="Q13" s="14" t="str">
        <f>TEXT(B3*M9^2*Q5/N6*(1+4*M9/N6)*J2, "0.00") &amp; " ~ " &amp; TEXT(C3*M9^2*Q5/N6*(1+4*M9/N6)*J2, "0.00")</f>
        <v>9.54 ~ 10.28</v>
      </c>
      <c r="R13" s="15" t="str">
        <f>TEXT(B3*M9^2*R5/N6*(1+4*M9/N6)*J2, "0.00") &amp; " ~ " &amp; TEXT(C3*M9^2*R5/N6*(1+4*M9/N6)*J2, "0.00")</f>
        <v>11.93 ~ 12.85</v>
      </c>
    </row>
    <row r="14" spans="1:18" x14ac:dyDescent="0.25">
      <c r="A14" s="41"/>
      <c r="B14" s="40"/>
      <c r="G14" s="11"/>
      <c r="M14" s="11"/>
    </row>
  </sheetData>
  <mergeCells count="18">
    <mergeCell ref="A12:F12"/>
    <mergeCell ref="G12:L12"/>
    <mergeCell ref="M12:R12"/>
    <mergeCell ref="E2:H2"/>
    <mergeCell ref="E1:H1"/>
    <mergeCell ref="E3:H3"/>
    <mergeCell ref="B7:F7"/>
    <mergeCell ref="H7:L7"/>
    <mergeCell ref="A1:C1"/>
    <mergeCell ref="B6:F6"/>
    <mergeCell ref="H6:L6"/>
    <mergeCell ref="N6:R6"/>
    <mergeCell ref="A8:R8"/>
    <mergeCell ref="A11:R11"/>
    <mergeCell ref="N7:R7"/>
    <mergeCell ref="A9:F9"/>
    <mergeCell ref="G9:L9"/>
    <mergeCell ref="M9:R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2365-AF5D-41FF-84B5-961613DF24DE}">
  <dimension ref="A1:R361"/>
  <sheetViews>
    <sheetView workbookViewId="0">
      <pane ySplit="2" topLeftCell="A3" activePane="bottomLeft" state="frozen"/>
      <selection pane="bottomLeft" activeCell="E29" sqref="E29"/>
    </sheetView>
  </sheetViews>
  <sheetFormatPr defaultColWidth="8.875" defaultRowHeight="16.5" x14ac:dyDescent="0.25"/>
  <cols>
    <col min="1" max="1" width="10.75" style="10" customWidth="1"/>
    <col min="2" max="2" width="10.75" style="11" customWidth="1"/>
    <col min="3" max="51" width="10.75" style="10" customWidth="1"/>
    <col min="52" max="16384" width="8.875" style="10"/>
  </cols>
  <sheetData>
    <row r="1" spans="1:18" x14ac:dyDescent="0.25">
      <c r="A1" s="18" t="s">
        <v>3</v>
      </c>
      <c r="B1" s="19">
        <v>50</v>
      </c>
      <c r="C1" s="19">
        <v>100</v>
      </c>
      <c r="D1" s="19">
        <v>150</v>
      </c>
      <c r="E1" s="19">
        <v>200</v>
      </c>
      <c r="F1" s="20">
        <v>250</v>
      </c>
      <c r="G1" s="18" t="s">
        <v>3</v>
      </c>
      <c r="H1" s="19">
        <v>50</v>
      </c>
      <c r="I1" s="19">
        <v>100</v>
      </c>
      <c r="J1" s="19">
        <v>150</v>
      </c>
      <c r="K1" s="19">
        <v>200</v>
      </c>
      <c r="L1" s="20">
        <v>250</v>
      </c>
      <c r="M1" s="18" t="s">
        <v>3</v>
      </c>
      <c r="N1" s="19">
        <v>50</v>
      </c>
      <c r="O1" s="19">
        <v>100</v>
      </c>
      <c r="P1" s="19">
        <v>150</v>
      </c>
      <c r="Q1" s="19">
        <v>200</v>
      </c>
      <c r="R1" s="20">
        <v>250</v>
      </c>
    </row>
    <row r="2" spans="1:18" ht="17.25" thickBot="1" x14ac:dyDescent="0.3">
      <c r="A2" s="21" t="s">
        <v>1</v>
      </c>
      <c r="B2" s="54" t="s">
        <v>2</v>
      </c>
      <c r="C2" s="54"/>
      <c r="D2" s="54"/>
      <c r="E2" s="54"/>
      <c r="F2" s="55"/>
      <c r="G2" s="21" t="s">
        <v>1</v>
      </c>
      <c r="H2" s="54" t="s">
        <v>2</v>
      </c>
      <c r="I2" s="54"/>
      <c r="J2" s="54"/>
      <c r="K2" s="54"/>
      <c r="L2" s="55"/>
      <c r="M2" s="21" t="s">
        <v>1</v>
      </c>
      <c r="N2" s="54" t="s">
        <v>2</v>
      </c>
      <c r="O2" s="54"/>
      <c r="P2" s="54"/>
      <c r="Q2" s="54"/>
      <c r="R2" s="55"/>
    </row>
    <row r="3" spans="1:18" x14ac:dyDescent="0.25">
      <c r="A3" s="56" t="s">
        <v>4</v>
      </c>
      <c r="B3" s="57"/>
      <c r="C3" s="57"/>
      <c r="D3" s="57"/>
      <c r="E3" s="57"/>
      <c r="F3" s="58"/>
      <c r="G3" s="56" t="s">
        <v>5</v>
      </c>
      <c r="H3" s="57"/>
      <c r="I3" s="57"/>
      <c r="J3" s="57"/>
      <c r="K3" s="57"/>
      <c r="L3" s="58"/>
      <c r="M3" s="56" t="s">
        <v>6</v>
      </c>
      <c r="N3" s="57"/>
      <c r="O3" s="57"/>
      <c r="P3" s="57"/>
      <c r="Q3" s="57"/>
      <c r="R3" s="58"/>
    </row>
    <row r="4" spans="1:18" x14ac:dyDescent="0.25">
      <c r="A4" s="24">
        <v>5</v>
      </c>
      <c r="B4" s="6">
        <v>0.16</v>
      </c>
      <c r="C4" s="6">
        <v>0.33</v>
      </c>
      <c r="D4" s="6">
        <v>0.49</v>
      </c>
      <c r="E4" s="6">
        <v>0.65</v>
      </c>
      <c r="F4" s="7">
        <v>0.82</v>
      </c>
      <c r="G4" s="24">
        <v>5</v>
      </c>
      <c r="H4" s="6">
        <v>0.3</v>
      </c>
      <c r="I4" s="6">
        <v>0.6</v>
      </c>
      <c r="J4" s="6">
        <v>0.9</v>
      </c>
      <c r="K4" s="6">
        <v>1.2</v>
      </c>
      <c r="L4" s="7">
        <v>1.5</v>
      </c>
      <c r="M4" s="24">
        <v>5</v>
      </c>
      <c r="N4" s="6">
        <v>0.43</v>
      </c>
      <c r="O4" s="6">
        <v>0.86</v>
      </c>
      <c r="P4" s="6">
        <v>1.29</v>
      </c>
      <c r="Q4" s="6">
        <v>1.72</v>
      </c>
      <c r="R4" s="7">
        <v>2.16</v>
      </c>
    </row>
    <row r="5" spans="1:18" x14ac:dyDescent="0.25">
      <c r="A5" s="24">
        <v>10</v>
      </c>
      <c r="B5" s="6">
        <v>0.21</v>
      </c>
      <c r="C5" s="6">
        <v>0.41</v>
      </c>
      <c r="D5" s="6">
        <v>0.62</v>
      </c>
      <c r="E5" s="6">
        <v>0.82</v>
      </c>
      <c r="F5" s="7">
        <v>1.03</v>
      </c>
      <c r="G5" s="24">
        <v>10</v>
      </c>
      <c r="H5" s="6">
        <v>0.38</v>
      </c>
      <c r="I5" s="6">
        <v>0.76</v>
      </c>
      <c r="J5" s="6">
        <v>1.1299999999999999</v>
      </c>
      <c r="K5" s="6">
        <v>1.51</v>
      </c>
      <c r="L5" s="7">
        <v>1.89</v>
      </c>
      <c r="M5" s="24">
        <v>10</v>
      </c>
      <c r="N5" s="6">
        <v>0.54</v>
      </c>
      <c r="O5" s="6">
        <v>1.0900000000000001</v>
      </c>
      <c r="P5" s="6">
        <v>1.63</v>
      </c>
      <c r="Q5" s="6">
        <v>2.17</v>
      </c>
      <c r="R5" s="7">
        <v>2.72</v>
      </c>
    </row>
    <row r="6" spans="1:18" x14ac:dyDescent="0.25">
      <c r="A6" s="24">
        <v>15</v>
      </c>
      <c r="B6" s="6">
        <v>0.24</v>
      </c>
      <c r="C6" s="6">
        <v>0.48</v>
      </c>
      <c r="D6" s="6">
        <v>0.72</v>
      </c>
      <c r="E6" s="6">
        <v>0.96</v>
      </c>
      <c r="F6" s="7">
        <v>1.2</v>
      </c>
      <c r="G6" s="24">
        <v>15</v>
      </c>
      <c r="H6" s="6">
        <v>0.44</v>
      </c>
      <c r="I6" s="6">
        <v>0.88</v>
      </c>
      <c r="J6" s="6">
        <v>1.32</v>
      </c>
      <c r="K6" s="6">
        <v>1.75</v>
      </c>
      <c r="L6" s="7">
        <v>2.19</v>
      </c>
      <c r="M6" s="24">
        <v>15</v>
      </c>
      <c r="N6" s="6">
        <v>0.63</v>
      </c>
      <c r="O6" s="6">
        <v>1.26</v>
      </c>
      <c r="P6" s="6">
        <v>1.89</v>
      </c>
      <c r="Q6" s="6">
        <v>2.52</v>
      </c>
      <c r="R6" s="7">
        <v>3.15</v>
      </c>
    </row>
    <row r="7" spans="1:18" x14ac:dyDescent="0.25">
      <c r="A7" s="24">
        <v>30</v>
      </c>
      <c r="B7" s="6">
        <v>0.32</v>
      </c>
      <c r="C7" s="6">
        <v>0.64</v>
      </c>
      <c r="D7" s="6">
        <v>0.96</v>
      </c>
      <c r="E7" s="6">
        <v>1.28</v>
      </c>
      <c r="F7" s="7">
        <v>1.6</v>
      </c>
      <c r="G7" s="24">
        <v>30</v>
      </c>
      <c r="H7" s="6">
        <v>0.57999999999999996</v>
      </c>
      <c r="I7" s="6">
        <v>1.1499999999999999</v>
      </c>
      <c r="J7" s="6">
        <v>1.73</v>
      </c>
      <c r="K7" s="6">
        <v>2.31</v>
      </c>
      <c r="L7" s="7">
        <v>2.88</v>
      </c>
      <c r="M7" s="24">
        <v>30</v>
      </c>
      <c r="N7" s="6">
        <v>0.84</v>
      </c>
      <c r="O7" s="6">
        <v>1.67</v>
      </c>
      <c r="P7" s="6">
        <v>2.5099999999999998</v>
      </c>
      <c r="Q7" s="6">
        <v>3.34</v>
      </c>
      <c r="R7" s="7">
        <v>4.18</v>
      </c>
    </row>
    <row r="8" spans="1:18" x14ac:dyDescent="0.25">
      <c r="A8" s="24">
        <v>45</v>
      </c>
      <c r="B8" s="6">
        <v>0.38</v>
      </c>
      <c r="C8" s="6">
        <v>0.76</v>
      </c>
      <c r="D8" s="6">
        <v>1.1399999999999999</v>
      </c>
      <c r="E8" s="6">
        <v>1.52</v>
      </c>
      <c r="F8" s="7">
        <v>1.9</v>
      </c>
      <c r="G8" s="24">
        <v>45</v>
      </c>
      <c r="H8" s="6">
        <v>0.68</v>
      </c>
      <c r="I8" s="6">
        <v>1.36</v>
      </c>
      <c r="J8" s="6">
        <v>2.0299999999999998</v>
      </c>
      <c r="K8" s="6">
        <v>2.71</v>
      </c>
      <c r="L8" s="7">
        <v>3.39</v>
      </c>
      <c r="M8" s="24">
        <v>45</v>
      </c>
      <c r="N8" s="6">
        <v>0.99</v>
      </c>
      <c r="O8" s="6">
        <v>1.98</v>
      </c>
      <c r="P8" s="6">
        <v>2.96</v>
      </c>
      <c r="Q8" s="6">
        <v>3.95</v>
      </c>
      <c r="R8" s="7">
        <v>4.9400000000000004</v>
      </c>
    </row>
    <row r="9" spans="1:18" x14ac:dyDescent="0.25">
      <c r="A9" s="24">
        <v>60</v>
      </c>
      <c r="B9" s="6">
        <v>0.43</v>
      </c>
      <c r="C9" s="6">
        <v>0.85</v>
      </c>
      <c r="D9" s="6">
        <v>1.28</v>
      </c>
      <c r="E9" s="6">
        <v>1.7</v>
      </c>
      <c r="F9" s="7">
        <v>2.13</v>
      </c>
      <c r="G9" s="24">
        <v>60</v>
      </c>
      <c r="H9" s="6">
        <v>0.74</v>
      </c>
      <c r="I9" s="6">
        <v>1.49</v>
      </c>
      <c r="J9" s="6">
        <v>2.23</v>
      </c>
      <c r="K9" s="6">
        <v>2.98</v>
      </c>
      <c r="L9" s="7">
        <v>3.72</v>
      </c>
      <c r="M9" s="24">
        <v>60</v>
      </c>
      <c r="N9" s="6">
        <v>1.0900000000000001</v>
      </c>
      <c r="O9" s="6">
        <v>2.1800000000000002</v>
      </c>
      <c r="P9" s="6">
        <v>3.28</v>
      </c>
      <c r="Q9" s="6">
        <v>4.37</v>
      </c>
      <c r="R9" s="7">
        <v>5.46</v>
      </c>
    </row>
    <row r="10" spans="1:18" x14ac:dyDescent="0.25">
      <c r="A10" s="24">
        <v>75</v>
      </c>
      <c r="B10" s="6">
        <v>0.45</v>
      </c>
      <c r="C10" s="6">
        <v>0.9</v>
      </c>
      <c r="D10" s="6">
        <v>1.35</v>
      </c>
      <c r="E10" s="6">
        <v>1.8</v>
      </c>
      <c r="F10" s="7">
        <v>2.25</v>
      </c>
      <c r="G10" s="24">
        <v>75</v>
      </c>
      <c r="H10" s="6">
        <v>0.77</v>
      </c>
      <c r="I10" s="6">
        <v>1.54</v>
      </c>
      <c r="J10" s="6">
        <v>2.31</v>
      </c>
      <c r="K10" s="6">
        <v>3.09</v>
      </c>
      <c r="L10" s="7">
        <v>3.86</v>
      </c>
      <c r="M10" s="24">
        <v>75</v>
      </c>
      <c r="N10" s="6">
        <v>1.1399999999999999</v>
      </c>
      <c r="O10" s="6">
        <v>2.2799999999999998</v>
      </c>
      <c r="P10" s="6">
        <v>3.42</v>
      </c>
      <c r="Q10" s="6">
        <v>4.5599999999999996</v>
      </c>
      <c r="R10" s="7">
        <v>5.71</v>
      </c>
    </row>
    <row r="11" spans="1:18" ht="17.25" thickBot="1" x14ac:dyDescent="0.3">
      <c r="A11" s="25">
        <v>90</v>
      </c>
      <c r="B11" s="14">
        <v>0.46</v>
      </c>
      <c r="C11" s="14">
        <v>0.92</v>
      </c>
      <c r="D11" s="14">
        <v>1.38</v>
      </c>
      <c r="E11" s="14">
        <v>1.84</v>
      </c>
      <c r="F11" s="15">
        <v>2.2999999999999998</v>
      </c>
      <c r="G11" s="25">
        <v>90</v>
      </c>
      <c r="H11" s="14">
        <v>0.77</v>
      </c>
      <c r="I11" s="14">
        <v>1.53</v>
      </c>
      <c r="J11" s="14">
        <v>2.2999999999999998</v>
      </c>
      <c r="K11" s="14">
        <v>3.07</v>
      </c>
      <c r="L11" s="15">
        <v>3.83</v>
      </c>
      <c r="M11" s="25">
        <v>90</v>
      </c>
      <c r="N11" s="14">
        <v>1.1399999999999999</v>
      </c>
      <c r="O11" s="14">
        <v>2.2799999999999998</v>
      </c>
      <c r="P11" s="14">
        <v>3.42</v>
      </c>
      <c r="Q11" s="14">
        <v>4.57</v>
      </c>
      <c r="R11" s="15">
        <v>5.71</v>
      </c>
    </row>
    <row r="12" spans="1:18" ht="17.25" thickBot="1" x14ac:dyDescent="0.3">
      <c r="A12" s="16"/>
      <c r="B12" s="12"/>
      <c r="C12" s="13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7"/>
    </row>
    <row r="13" spans="1:18" x14ac:dyDescent="0.25">
      <c r="A13" s="56" t="s">
        <v>7</v>
      </c>
      <c r="B13" s="65"/>
      <c r="C13" s="65"/>
      <c r="D13" s="65"/>
      <c r="E13" s="65"/>
      <c r="F13" s="66"/>
      <c r="G13" s="56" t="s">
        <v>8</v>
      </c>
      <c r="H13" s="65"/>
      <c r="I13" s="65"/>
      <c r="J13" s="65"/>
      <c r="K13" s="65"/>
      <c r="L13" s="66"/>
      <c r="M13" s="56" t="s">
        <v>9</v>
      </c>
      <c r="N13" s="65"/>
      <c r="O13" s="65"/>
      <c r="P13" s="65"/>
      <c r="Q13" s="65"/>
      <c r="R13" s="66"/>
    </row>
    <row r="14" spans="1:18" x14ac:dyDescent="0.25">
      <c r="A14" s="24">
        <v>5</v>
      </c>
      <c r="B14" s="6">
        <v>0.18</v>
      </c>
      <c r="C14" s="6">
        <v>0.36</v>
      </c>
      <c r="D14" s="6">
        <v>0.54</v>
      </c>
      <c r="E14" s="6">
        <v>0.73</v>
      </c>
      <c r="F14" s="7">
        <v>0.91</v>
      </c>
      <c r="G14" s="24">
        <v>5</v>
      </c>
      <c r="H14" s="6">
        <v>0.34</v>
      </c>
      <c r="I14" s="6">
        <v>0.67</v>
      </c>
      <c r="J14" s="6">
        <v>1.01</v>
      </c>
      <c r="K14" s="6">
        <v>1.34</v>
      </c>
      <c r="L14" s="7">
        <v>1.68</v>
      </c>
      <c r="M14" s="24">
        <v>5</v>
      </c>
      <c r="N14" s="6">
        <v>0.48</v>
      </c>
      <c r="O14" s="6">
        <v>0.97</v>
      </c>
      <c r="P14" s="6">
        <v>1.54</v>
      </c>
      <c r="Q14" s="6">
        <v>1.93</v>
      </c>
      <c r="R14" s="7">
        <v>2.42</v>
      </c>
    </row>
    <row r="15" spans="1:18" x14ac:dyDescent="0.25">
      <c r="A15" s="24">
        <v>10</v>
      </c>
      <c r="B15" s="6">
        <v>0.24</v>
      </c>
      <c r="C15" s="6">
        <v>0.48</v>
      </c>
      <c r="D15" s="6">
        <v>0.72</v>
      </c>
      <c r="E15" s="6">
        <v>0.95</v>
      </c>
      <c r="F15" s="7">
        <v>1.19</v>
      </c>
      <c r="G15" s="24">
        <v>10</v>
      </c>
      <c r="H15" s="6">
        <v>0.44</v>
      </c>
      <c r="I15" s="6">
        <v>0.88</v>
      </c>
      <c r="J15" s="6">
        <v>1.32</v>
      </c>
      <c r="K15" s="6">
        <v>1.77</v>
      </c>
      <c r="L15" s="7">
        <v>2.21</v>
      </c>
      <c r="M15" s="24">
        <v>10</v>
      </c>
      <c r="N15" s="6">
        <v>0.64</v>
      </c>
      <c r="O15" s="6">
        <v>1.27</v>
      </c>
      <c r="P15" s="6">
        <v>1.91</v>
      </c>
      <c r="Q15" s="6">
        <v>2.5499999999999998</v>
      </c>
      <c r="R15" s="7">
        <v>3.18</v>
      </c>
    </row>
    <row r="16" spans="1:18" x14ac:dyDescent="0.25">
      <c r="A16" s="24">
        <v>15</v>
      </c>
      <c r="B16" s="6">
        <v>0.28999999999999998</v>
      </c>
      <c r="C16" s="6">
        <v>0.56999999999999995</v>
      </c>
      <c r="D16" s="6">
        <v>0.86</v>
      </c>
      <c r="E16" s="6">
        <v>1.1399999999999999</v>
      </c>
      <c r="F16" s="7">
        <v>1.43</v>
      </c>
      <c r="G16" s="24">
        <v>15</v>
      </c>
      <c r="H16" s="6">
        <v>0.53</v>
      </c>
      <c r="I16" s="6">
        <v>1.05</v>
      </c>
      <c r="J16" s="6">
        <v>1.58</v>
      </c>
      <c r="K16" s="6">
        <v>2.1</v>
      </c>
      <c r="L16" s="7">
        <v>2.63</v>
      </c>
      <c r="M16" s="24">
        <v>15</v>
      </c>
      <c r="N16" s="6">
        <v>0.76</v>
      </c>
      <c r="O16" s="6">
        <v>1.52</v>
      </c>
      <c r="P16" s="6">
        <v>2.2799999999999998</v>
      </c>
      <c r="Q16" s="6">
        <v>3.04</v>
      </c>
      <c r="R16" s="7">
        <v>3.8</v>
      </c>
    </row>
    <row r="17" spans="1:18" x14ac:dyDescent="0.25">
      <c r="A17" s="24">
        <v>30</v>
      </c>
      <c r="B17" s="6">
        <v>0.4</v>
      </c>
      <c r="C17" s="6">
        <v>0.8</v>
      </c>
      <c r="D17" s="6">
        <v>1.2</v>
      </c>
      <c r="E17" s="6">
        <v>1.6</v>
      </c>
      <c r="F17" s="7">
        <v>2</v>
      </c>
      <c r="G17" s="24">
        <v>30</v>
      </c>
      <c r="H17" s="6">
        <v>0.73</v>
      </c>
      <c r="I17" s="6">
        <v>1.46</v>
      </c>
      <c r="J17" s="6">
        <v>2.19</v>
      </c>
      <c r="K17" s="6">
        <v>2.92</v>
      </c>
      <c r="L17" s="7">
        <v>3.65</v>
      </c>
      <c r="M17" s="24">
        <v>30</v>
      </c>
      <c r="N17" s="6">
        <v>1.06</v>
      </c>
      <c r="O17" s="6">
        <v>2.12</v>
      </c>
      <c r="P17" s="6">
        <v>3.18</v>
      </c>
      <c r="Q17" s="6">
        <v>4.24</v>
      </c>
      <c r="R17" s="7">
        <v>5.3</v>
      </c>
    </row>
    <row r="18" spans="1:18" x14ac:dyDescent="0.25">
      <c r="A18" s="24">
        <v>45</v>
      </c>
      <c r="B18" s="6">
        <v>0.49</v>
      </c>
      <c r="C18" s="6">
        <v>0.99</v>
      </c>
      <c r="D18" s="6">
        <v>1.48</v>
      </c>
      <c r="E18" s="6">
        <v>1.97</v>
      </c>
      <c r="F18" s="7">
        <v>2.4700000000000002</v>
      </c>
      <c r="G18" s="24">
        <v>45</v>
      </c>
      <c r="H18" s="6">
        <v>0.88</v>
      </c>
      <c r="I18" s="6">
        <v>1.77</v>
      </c>
      <c r="J18" s="6">
        <v>2.65</v>
      </c>
      <c r="K18" s="6">
        <v>3.54</v>
      </c>
      <c r="L18" s="7">
        <v>4.42</v>
      </c>
      <c r="M18" s="24">
        <v>45</v>
      </c>
      <c r="N18" s="6">
        <v>1.3</v>
      </c>
      <c r="O18" s="6">
        <v>2.59</v>
      </c>
      <c r="P18" s="6">
        <v>3.89</v>
      </c>
      <c r="Q18" s="6">
        <v>5.18</v>
      </c>
      <c r="R18" s="7">
        <v>6.48</v>
      </c>
    </row>
    <row r="19" spans="1:18" x14ac:dyDescent="0.25">
      <c r="A19" s="24">
        <v>60</v>
      </c>
      <c r="B19" s="6">
        <v>0.56000000000000005</v>
      </c>
      <c r="C19" s="6">
        <v>1.1299999999999999</v>
      </c>
      <c r="D19" s="6">
        <v>1.69</v>
      </c>
      <c r="E19" s="6">
        <v>2.2599999999999998</v>
      </c>
      <c r="F19" s="7">
        <v>2.82</v>
      </c>
      <c r="G19" s="24">
        <v>60</v>
      </c>
      <c r="H19" s="6">
        <v>0.99</v>
      </c>
      <c r="I19" s="6">
        <v>1.99</v>
      </c>
      <c r="J19" s="6">
        <v>2.98</v>
      </c>
      <c r="K19" s="6">
        <v>3.98</v>
      </c>
      <c r="L19" s="7">
        <v>4.97</v>
      </c>
      <c r="M19" s="24">
        <v>60</v>
      </c>
      <c r="N19" s="6">
        <v>1.47</v>
      </c>
      <c r="O19" s="6">
        <v>2.94</v>
      </c>
      <c r="P19" s="6">
        <v>4.4000000000000004</v>
      </c>
      <c r="Q19" s="6">
        <v>5.87</v>
      </c>
      <c r="R19" s="7">
        <v>7.34</v>
      </c>
    </row>
    <row r="20" spans="1:18" x14ac:dyDescent="0.25">
      <c r="A20" s="24">
        <v>75</v>
      </c>
      <c r="B20" s="6">
        <v>0.61</v>
      </c>
      <c r="C20" s="6">
        <v>1.21</v>
      </c>
      <c r="D20" s="6">
        <v>1.82</v>
      </c>
      <c r="E20" s="6">
        <v>2.4300000000000002</v>
      </c>
      <c r="F20" s="7">
        <v>3.03</v>
      </c>
      <c r="G20" s="24">
        <v>75</v>
      </c>
      <c r="H20" s="6">
        <v>1.05</v>
      </c>
      <c r="I20" s="6">
        <v>2.1</v>
      </c>
      <c r="J20" s="6">
        <v>3.15</v>
      </c>
      <c r="K20" s="6">
        <v>4.2</v>
      </c>
      <c r="L20" s="7">
        <v>5.25</v>
      </c>
      <c r="M20" s="24">
        <v>75</v>
      </c>
      <c r="N20" s="6">
        <v>1.56</v>
      </c>
      <c r="O20" s="6">
        <v>3.13</v>
      </c>
      <c r="P20" s="6">
        <v>4.6900000000000004</v>
      </c>
      <c r="Q20" s="6">
        <v>6.25</v>
      </c>
      <c r="R20" s="7">
        <v>7.82</v>
      </c>
    </row>
    <row r="21" spans="1:18" ht="17.25" thickBot="1" x14ac:dyDescent="0.3">
      <c r="A21" s="25">
        <v>90</v>
      </c>
      <c r="B21" s="14">
        <v>0.62</v>
      </c>
      <c r="C21" s="14">
        <v>1.25</v>
      </c>
      <c r="D21" s="14">
        <v>1.87</v>
      </c>
      <c r="E21" s="14">
        <v>2.5</v>
      </c>
      <c r="F21" s="15">
        <v>3.12</v>
      </c>
      <c r="G21" s="25">
        <v>90</v>
      </c>
      <c r="H21" s="14">
        <v>1.06</v>
      </c>
      <c r="I21" s="14">
        <v>2.11</v>
      </c>
      <c r="J21" s="14">
        <v>3.17</v>
      </c>
      <c r="K21" s="14">
        <v>4.22</v>
      </c>
      <c r="L21" s="15">
        <v>5.28</v>
      </c>
      <c r="M21" s="25">
        <v>90</v>
      </c>
      <c r="N21" s="14">
        <v>1.59</v>
      </c>
      <c r="O21" s="14">
        <v>3.18</v>
      </c>
      <c r="P21" s="14">
        <v>4.7699999999999996</v>
      </c>
      <c r="Q21" s="14">
        <v>6.36</v>
      </c>
      <c r="R21" s="15">
        <v>7.94</v>
      </c>
    </row>
    <row r="22" spans="1:18" ht="17.25" thickBot="1" x14ac:dyDescent="0.3">
      <c r="A22" s="16"/>
      <c r="B22" s="12"/>
      <c r="C22" s="1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7"/>
    </row>
    <row r="23" spans="1:18" x14ac:dyDescent="0.25">
      <c r="A23" s="56" t="s">
        <v>10</v>
      </c>
      <c r="B23" s="65"/>
      <c r="C23" s="65"/>
      <c r="D23" s="65"/>
      <c r="E23" s="65"/>
      <c r="F23" s="66"/>
      <c r="G23" s="56" t="s">
        <v>11</v>
      </c>
      <c r="H23" s="65"/>
      <c r="I23" s="65"/>
      <c r="J23" s="65"/>
      <c r="K23" s="65"/>
      <c r="L23" s="66"/>
      <c r="M23" s="56" t="s">
        <v>12</v>
      </c>
      <c r="N23" s="65"/>
      <c r="O23" s="65"/>
      <c r="P23" s="65"/>
      <c r="Q23" s="65"/>
      <c r="R23" s="66"/>
    </row>
    <row r="24" spans="1:18" x14ac:dyDescent="0.25">
      <c r="A24" s="24">
        <v>5</v>
      </c>
      <c r="B24" s="6">
        <v>0.18</v>
      </c>
      <c r="C24" s="6">
        <v>0.36</v>
      </c>
      <c r="D24" s="6">
        <v>0.54</v>
      </c>
      <c r="E24" s="6">
        <v>0.73</v>
      </c>
      <c r="F24" s="7">
        <v>0.91</v>
      </c>
      <c r="G24" s="24">
        <v>5</v>
      </c>
      <c r="H24" s="6">
        <v>0.34</v>
      </c>
      <c r="I24" s="6">
        <v>0.67</v>
      </c>
      <c r="J24" s="6">
        <v>1.01</v>
      </c>
      <c r="K24" s="6">
        <v>1.34</v>
      </c>
      <c r="L24" s="7">
        <v>1.68</v>
      </c>
      <c r="M24" s="24">
        <v>5</v>
      </c>
      <c r="N24" s="6">
        <v>0.48</v>
      </c>
      <c r="O24" s="6">
        <v>0.97</v>
      </c>
      <c r="P24" s="6">
        <v>1.45</v>
      </c>
      <c r="Q24" s="6">
        <v>1.93</v>
      </c>
      <c r="R24" s="7">
        <v>2.42</v>
      </c>
    </row>
    <row r="25" spans="1:18" x14ac:dyDescent="0.25">
      <c r="A25" s="24">
        <v>10</v>
      </c>
      <c r="B25" s="6">
        <v>0.24</v>
      </c>
      <c r="C25" s="6">
        <v>0.48</v>
      </c>
      <c r="D25" s="6">
        <v>0.72</v>
      </c>
      <c r="E25" s="6">
        <v>0.95</v>
      </c>
      <c r="F25" s="7">
        <v>1.19</v>
      </c>
      <c r="G25" s="24">
        <v>10</v>
      </c>
      <c r="H25" s="6">
        <v>0.44</v>
      </c>
      <c r="I25" s="6">
        <v>0.88</v>
      </c>
      <c r="J25" s="6">
        <v>1.32</v>
      </c>
      <c r="K25" s="6">
        <v>1.77</v>
      </c>
      <c r="L25" s="7">
        <v>2.21</v>
      </c>
      <c r="M25" s="24">
        <v>10</v>
      </c>
      <c r="N25" s="6">
        <v>0.64</v>
      </c>
      <c r="O25" s="6">
        <v>1.27</v>
      </c>
      <c r="P25" s="6">
        <v>1.91</v>
      </c>
      <c r="Q25" s="6">
        <v>2.5499999999999998</v>
      </c>
      <c r="R25" s="7">
        <v>3.18</v>
      </c>
    </row>
    <row r="26" spans="1:18" x14ac:dyDescent="0.25">
      <c r="A26" s="24">
        <v>15</v>
      </c>
      <c r="B26" s="6">
        <v>0.28999999999999998</v>
      </c>
      <c r="C26" s="6">
        <v>0.56999999999999995</v>
      </c>
      <c r="D26" s="6">
        <v>0.86</v>
      </c>
      <c r="E26" s="6">
        <v>1.1399999999999999</v>
      </c>
      <c r="F26" s="7">
        <v>1.43</v>
      </c>
      <c r="G26" s="24">
        <v>15</v>
      </c>
      <c r="H26" s="6">
        <v>0.53</v>
      </c>
      <c r="I26" s="6">
        <v>1.05</v>
      </c>
      <c r="J26" s="6">
        <v>1.58</v>
      </c>
      <c r="K26" s="6">
        <v>2.1</v>
      </c>
      <c r="L26" s="7">
        <v>2.63</v>
      </c>
      <c r="M26" s="24">
        <v>15</v>
      </c>
      <c r="N26" s="6">
        <v>0.76</v>
      </c>
      <c r="O26" s="6">
        <v>1.52</v>
      </c>
      <c r="P26" s="6">
        <v>2.2799999999999998</v>
      </c>
      <c r="Q26" s="6">
        <v>3.04</v>
      </c>
      <c r="R26" s="7">
        <v>3.8</v>
      </c>
    </row>
    <row r="27" spans="1:18" x14ac:dyDescent="0.25">
      <c r="A27" s="24">
        <v>30</v>
      </c>
      <c r="B27" s="6">
        <v>0.4</v>
      </c>
      <c r="C27" s="6">
        <v>0.8</v>
      </c>
      <c r="D27" s="6">
        <v>1.2</v>
      </c>
      <c r="E27" s="6">
        <v>1.6</v>
      </c>
      <c r="F27" s="7">
        <v>2</v>
      </c>
      <c r="G27" s="24">
        <v>30</v>
      </c>
      <c r="H27" s="6">
        <v>0.73</v>
      </c>
      <c r="I27" s="6">
        <v>1.46</v>
      </c>
      <c r="J27" s="6">
        <v>2.19</v>
      </c>
      <c r="K27" s="6">
        <v>2.92</v>
      </c>
      <c r="L27" s="7">
        <v>3.65</v>
      </c>
      <c r="M27" s="24">
        <v>30</v>
      </c>
      <c r="N27" s="6">
        <v>1.06</v>
      </c>
      <c r="O27" s="6">
        <v>2.12</v>
      </c>
      <c r="P27" s="6">
        <v>3.18</v>
      </c>
      <c r="Q27" s="6">
        <v>4.24</v>
      </c>
      <c r="R27" s="7">
        <v>5.3</v>
      </c>
    </row>
    <row r="28" spans="1:18" x14ac:dyDescent="0.25">
      <c r="A28" s="24">
        <v>45</v>
      </c>
      <c r="B28" s="6">
        <v>0.49</v>
      </c>
      <c r="C28" s="6">
        <v>0.99</v>
      </c>
      <c r="D28" s="6">
        <v>1.48</v>
      </c>
      <c r="E28" s="6">
        <v>1.97</v>
      </c>
      <c r="F28" s="7">
        <v>2.4700000000000002</v>
      </c>
      <c r="G28" s="24">
        <v>45</v>
      </c>
      <c r="H28" s="6">
        <v>0.88</v>
      </c>
      <c r="I28" s="6">
        <v>1.77</v>
      </c>
      <c r="J28" s="6">
        <v>2.65</v>
      </c>
      <c r="K28" s="6">
        <v>3.54</v>
      </c>
      <c r="L28" s="7">
        <v>4.42</v>
      </c>
      <c r="M28" s="24">
        <v>45</v>
      </c>
      <c r="N28" s="6">
        <v>1.3</v>
      </c>
      <c r="O28" s="6">
        <v>2.59</v>
      </c>
      <c r="P28" s="6">
        <v>3.89</v>
      </c>
      <c r="Q28" s="6">
        <v>5.18</v>
      </c>
      <c r="R28" s="7">
        <v>6.48</v>
      </c>
    </row>
    <row r="29" spans="1:18" x14ac:dyDescent="0.25">
      <c r="A29" s="24">
        <v>60</v>
      </c>
      <c r="B29" s="6">
        <v>0.56000000000000005</v>
      </c>
      <c r="C29" s="6">
        <v>1.1299999999999999</v>
      </c>
      <c r="D29" s="6">
        <v>1.69</v>
      </c>
      <c r="E29" s="6">
        <v>2.2599999999999998</v>
      </c>
      <c r="F29" s="7">
        <v>2.82</v>
      </c>
      <c r="G29" s="24">
        <v>60</v>
      </c>
      <c r="H29" s="6">
        <v>0.99</v>
      </c>
      <c r="I29" s="6">
        <v>1.9</v>
      </c>
      <c r="J29" s="6">
        <v>2.98</v>
      </c>
      <c r="K29" s="6">
        <v>3.98</v>
      </c>
      <c r="L29" s="7">
        <v>4.97</v>
      </c>
      <c r="M29" s="24">
        <v>60</v>
      </c>
      <c r="N29" s="6">
        <v>1.47</v>
      </c>
      <c r="O29" s="6">
        <v>2.94</v>
      </c>
      <c r="P29" s="6">
        <v>4.4000000000000004</v>
      </c>
      <c r="Q29" s="6">
        <v>5.87</v>
      </c>
      <c r="R29" s="7">
        <v>7.34</v>
      </c>
    </row>
    <row r="30" spans="1:18" x14ac:dyDescent="0.25">
      <c r="A30" s="24">
        <v>75</v>
      </c>
      <c r="B30" s="6">
        <v>0.61</v>
      </c>
      <c r="C30" s="6">
        <v>1.21</v>
      </c>
      <c r="D30" s="6">
        <v>1.82</v>
      </c>
      <c r="E30" s="6">
        <v>2.4300000000000002</v>
      </c>
      <c r="F30" s="7">
        <v>3.03</v>
      </c>
      <c r="G30" s="24">
        <v>75</v>
      </c>
      <c r="H30" s="6">
        <v>1.05</v>
      </c>
      <c r="I30" s="6">
        <v>2.1</v>
      </c>
      <c r="J30" s="6">
        <v>3.15</v>
      </c>
      <c r="K30" s="6">
        <v>4.2</v>
      </c>
      <c r="L30" s="7">
        <v>5.25</v>
      </c>
      <c r="M30" s="24">
        <v>75</v>
      </c>
      <c r="N30" s="6">
        <v>1.56</v>
      </c>
      <c r="O30" s="6">
        <v>3.13</v>
      </c>
      <c r="P30" s="6">
        <v>4.6900000000000004</v>
      </c>
      <c r="Q30" s="6">
        <v>6.25</v>
      </c>
      <c r="R30" s="7">
        <v>7.82</v>
      </c>
    </row>
    <row r="31" spans="1:18" ht="17.25" thickBot="1" x14ac:dyDescent="0.3">
      <c r="A31" s="25">
        <v>90</v>
      </c>
      <c r="B31" s="14">
        <v>0.62</v>
      </c>
      <c r="C31" s="14">
        <v>1.25</v>
      </c>
      <c r="D31" s="14">
        <v>1.87</v>
      </c>
      <c r="E31" s="14">
        <v>2.5</v>
      </c>
      <c r="F31" s="15">
        <v>3.12</v>
      </c>
      <c r="G31" s="25">
        <v>90</v>
      </c>
      <c r="H31" s="14">
        <v>1.06</v>
      </c>
      <c r="I31" s="14">
        <v>2.11</v>
      </c>
      <c r="J31" s="14">
        <v>3.17</v>
      </c>
      <c r="K31" s="14">
        <v>4.22</v>
      </c>
      <c r="L31" s="15">
        <v>5.28</v>
      </c>
      <c r="M31" s="25">
        <v>90</v>
      </c>
      <c r="N31" s="14">
        <v>1.59</v>
      </c>
      <c r="O31" s="14">
        <v>3.18</v>
      </c>
      <c r="P31" s="14">
        <v>4.7699999999999996</v>
      </c>
      <c r="Q31" s="14">
        <v>6.36</v>
      </c>
      <c r="R31" s="15">
        <v>7.94</v>
      </c>
    </row>
    <row r="32" spans="1:18" x14ac:dyDescent="0.25">
      <c r="C32" s="11"/>
    </row>
    <row r="33" spans="3:3" x14ac:dyDescent="0.25">
      <c r="C33" s="11"/>
    </row>
    <row r="34" spans="3:3" x14ac:dyDescent="0.25">
      <c r="C34" s="11"/>
    </row>
    <row r="35" spans="3:3" x14ac:dyDescent="0.25">
      <c r="C35" s="11"/>
    </row>
    <row r="36" spans="3:3" x14ac:dyDescent="0.25">
      <c r="C36" s="11"/>
    </row>
    <row r="37" spans="3:3" x14ac:dyDescent="0.25">
      <c r="C37" s="11"/>
    </row>
    <row r="38" spans="3:3" x14ac:dyDescent="0.25">
      <c r="C38" s="11"/>
    </row>
    <row r="39" spans="3:3" x14ac:dyDescent="0.25">
      <c r="C39" s="11"/>
    </row>
    <row r="40" spans="3:3" x14ac:dyDescent="0.25">
      <c r="C40" s="11"/>
    </row>
    <row r="41" spans="3:3" x14ac:dyDescent="0.25">
      <c r="C41" s="11"/>
    </row>
    <row r="42" spans="3:3" x14ac:dyDescent="0.25">
      <c r="C42" s="11"/>
    </row>
    <row r="43" spans="3:3" x14ac:dyDescent="0.25">
      <c r="C43" s="11"/>
    </row>
    <row r="44" spans="3:3" x14ac:dyDescent="0.25">
      <c r="C44" s="11"/>
    </row>
    <row r="45" spans="3:3" x14ac:dyDescent="0.25">
      <c r="C45" s="11"/>
    </row>
    <row r="46" spans="3:3" x14ac:dyDescent="0.25">
      <c r="C46" s="11"/>
    </row>
    <row r="47" spans="3:3" x14ac:dyDescent="0.25">
      <c r="C47" s="11"/>
    </row>
    <row r="48" spans="3:3" x14ac:dyDescent="0.25">
      <c r="C48" s="11"/>
    </row>
    <row r="49" spans="3:3" x14ac:dyDescent="0.25">
      <c r="C49" s="11"/>
    </row>
    <row r="50" spans="3:3" x14ac:dyDescent="0.25">
      <c r="C50" s="11"/>
    </row>
    <row r="51" spans="3:3" x14ac:dyDescent="0.25">
      <c r="C51" s="11"/>
    </row>
    <row r="52" spans="3:3" x14ac:dyDescent="0.25">
      <c r="C52" s="11"/>
    </row>
    <row r="53" spans="3:3" x14ac:dyDescent="0.25">
      <c r="C53" s="11"/>
    </row>
    <row r="54" spans="3:3" x14ac:dyDescent="0.25">
      <c r="C54" s="11"/>
    </row>
    <row r="55" spans="3:3" x14ac:dyDescent="0.25">
      <c r="C55" s="11"/>
    </row>
    <row r="56" spans="3:3" x14ac:dyDescent="0.25">
      <c r="C56" s="11"/>
    </row>
    <row r="57" spans="3:3" x14ac:dyDescent="0.25">
      <c r="C57" s="11"/>
    </row>
    <row r="58" spans="3:3" x14ac:dyDescent="0.25">
      <c r="C58" s="11"/>
    </row>
    <row r="59" spans="3:3" x14ac:dyDescent="0.25">
      <c r="C59" s="11"/>
    </row>
    <row r="60" spans="3:3" x14ac:dyDescent="0.25">
      <c r="C60" s="11"/>
    </row>
    <row r="61" spans="3:3" x14ac:dyDescent="0.25">
      <c r="C61" s="11"/>
    </row>
    <row r="62" spans="3:3" x14ac:dyDescent="0.25">
      <c r="C62" s="11"/>
    </row>
    <row r="63" spans="3:3" x14ac:dyDescent="0.25">
      <c r="C63" s="11"/>
    </row>
    <row r="64" spans="3:3" x14ac:dyDescent="0.25">
      <c r="C64" s="11"/>
    </row>
    <row r="65" spans="3:3" x14ac:dyDescent="0.25">
      <c r="C65" s="11"/>
    </row>
    <row r="66" spans="3:3" x14ac:dyDescent="0.25">
      <c r="C66" s="11"/>
    </row>
    <row r="67" spans="3:3" x14ac:dyDescent="0.25">
      <c r="C67" s="11"/>
    </row>
    <row r="68" spans="3:3" x14ac:dyDescent="0.25">
      <c r="C68" s="11"/>
    </row>
    <row r="69" spans="3:3" x14ac:dyDescent="0.25">
      <c r="C69" s="11"/>
    </row>
    <row r="70" spans="3:3" x14ac:dyDescent="0.25">
      <c r="C70" s="11"/>
    </row>
    <row r="71" spans="3:3" x14ac:dyDescent="0.25">
      <c r="C71" s="11"/>
    </row>
    <row r="72" spans="3:3" x14ac:dyDescent="0.25">
      <c r="C72" s="11"/>
    </row>
    <row r="73" spans="3:3" x14ac:dyDescent="0.25">
      <c r="C73" s="11"/>
    </row>
    <row r="74" spans="3:3" x14ac:dyDescent="0.25">
      <c r="C74" s="11"/>
    </row>
    <row r="75" spans="3:3" x14ac:dyDescent="0.25">
      <c r="C75" s="11"/>
    </row>
    <row r="76" spans="3:3" x14ac:dyDescent="0.25">
      <c r="C76" s="11"/>
    </row>
    <row r="77" spans="3:3" x14ac:dyDescent="0.25">
      <c r="C77" s="11"/>
    </row>
    <row r="78" spans="3:3" x14ac:dyDescent="0.25">
      <c r="C78" s="11"/>
    </row>
    <row r="79" spans="3:3" x14ac:dyDescent="0.25">
      <c r="C79" s="11"/>
    </row>
    <row r="80" spans="3:3" x14ac:dyDescent="0.25">
      <c r="C80" s="11"/>
    </row>
    <row r="81" spans="3:3" x14ac:dyDescent="0.25">
      <c r="C81" s="11"/>
    </row>
    <row r="82" spans="3:3" x14ac:dyDescent="0.25">
      <c r="C82" s="11"/>
    </row>
    <row r="83" spans="3:3" x14ac:dyDescent="0.25">
      <c r="C83" s="11"/>
    </row>
    <row r="84" spans="3:3" x14ac:dyDescent="0.25">
      <c r="C84" s="11"/>
    </row>
    <row r="85" spans="3:3" x14ac:dyDescent="0.25">
      <c r="C85" s="11"/>
    </row>
    <row r="86" spans="3:3" x14ac:dyDescent="0.25">
      <c r="C86" s="11"/>
    </row>
    <row r="87" spans="3:3" x14ac:dyDescent="0.25">
      <c r="C87" s="11"/>
    </row>
    <row r="88" spans="3:3" x14ac:dyDescent="0.25">
      <c r="C88" s="11"/>
    </row>
    <row r="89" spans="3:3" x14ac:dyDescent="0.25">
      <c r="C89" s="11"/>
    </row>
    <row r="90" spans="3:3" x14ac:dyDescent="0.25">
      <c r="C90" s="11"/>
    </row>
    <row r="91" spans="3:3" x14ac:dyDescent="0.25">
      <c r="C91" s="11"/>
    </row>
    <row r="92" spans="3:3" x14ac:dyDescent="0.25">
      <c r="C92" s="11"/>
    </row>
    <row r="93" spans="3:3" x14ac:dyDescent="0.25">
      <c r="C93" s="11"/>
    </row>
    <row r="94" spans="3:3" x14ac:dyDescent="0.25">
      <c r="C94" s="11"/>
    </row>
    <row r="95" spans="3:3" x14ac:dyDescent="0.25">
      <c r="C95" s="11"/>
    </row>
    <row r="96" spans="3:3" x14ac:dyDescent="0.25">
      <c r="C96" s="11"/>
    </row>
    <row r="97" spans="3:3" x14ac:dyDescent="0.25">
      <c r="C97" s="11"/>
    </row>
    <row r="98" spans="3:3" x14ac:dyDescent="0.25">
      <c r="C98" s="11"/>
    </row>
    <row r="99" spans="3:3" x14ac:dyDescent="0.25">
      <c r="C99" s="11"/>
    </row>
    <row r="100" spans="3:3" x14ac:dyDescent="0.25">
      <c r="C100" s="11"/>
    </row>
    <row r="101" spans="3:3" x14ac:dyDescent="0.25">
      <c r="C101" s="11"/>
    </row>
    <row r="102" spans="3:3" x14ac:dyDescent="0.25">
      <c r="C102" s="11"/>
    </row>
    <row r="103" spans="3:3" x14ac:dyDescent="0.25">
      <c r="C103" s="11"/>
    </row>
    <row r="104" spans="3:3" x14ac:dyDescent="0.25">
      <c r="C104" s="11"/>
    </row>
    <row r="105" spans="3:3" x14ac:dyDescent="0.25">
      <c r="C105" s="11"/>
    </row>
    <row r="106" spans="3:3" x14ac:dyDescent="0.25">
      <c r="C106" s="11"/>
    </row>
    <row r="107" spans="3:3" x14ac:dyDescent="0.25">
      <c r="C107" s="11"/>
    </row>
    <row r="108" spans="3:3" x14ac:dyDescent="0.25">
      <c r="C108" s="11"/>
    </row>
    <row r="109" spans="3:3" x14ac:dyDescent="0.25">
      <c r="C109" s="11"/>
    </row>
    <row r="110" spans="3:3" x14ac:dyDescent="0.25">
      <c r="C110" s="11"/>
    </row>
    <row r="111" spans="3:3" x14ac:dyDescent="0.25">
      <c r="C111" s="11"/>
    </row>
    <row r="112" spans="3:3" x14ac:dyDescent="0.25">
      <c r="C112" s="11"/>
    </row>
    <row r="113" spans="3:3" x14ac:dyDescent="0.25">
      <c r="C113" s="11"/>
    </row>
    <row r="114" spans="3:3" x14ac:dyDescent="0.25">
      <c r="C114" s="11"/>
    </row>
    <row r="115" spans="3:3" x14ac:dyDescent="0.25">
      <c r="C115" s="11"/>
    </row>
    <row r="116" spans="3:3" x14ac:dyDescent="0.25">
      <c r="C116" s="11"/>
    </row>
    <row r="117" spans="3:3" x14ac:dyDescent="0.25">
      <c r="C117" s="11"/>
    </row>
    <row r="118" spans="3:3" x14ac:dyDescent="0.25">
      <c r="C118" s="11"/>
    </row>
    <row r="119" spans="3:3" x14ac:dyDescent="0.25">
      <c r="C119" s="11"/>
    </row>
    <row r="121" spans="3:3" x14ac:dyDescent="0.25">
      <c r="C121" s="11"/>
    </row>
    <row r="122" spans="3:3" x14ac:dyDescent="0.25">
      <c r="C122" s="11"/>
    </row>
    <row r="123" spans="3:3" x14ac:dyDescent="0.25">
      <c r="C123" s="11"/>
    </row>
    <row r="124" spans="3:3" x14ac:dyDescent="0.25">
      <c r="C124" s="11"/>
    </row>
    <row r="125" spans="3:3" x14ac:dyDescent="0.25">
      <c r="C125" s="11"/>
    </row>
    <row r="126" spans="3:3" x14ac:dyDescent="0.25">
      <c r="C126" s="11"/>
    </row>
    <row r="127" spans="3:3" x14ac:dyDescent="0.25">
      <c r="C127" s="11"/>
    </row>
    <row r="128" spans="3:3" x14ac:dyDescent="0.25">
      <c r="C128" s="11"/>
    </row>
    <row r="129" spans="3:3" x14ac:dyDescent="0.25">
      <c r="C129" s="11"/>
    </row>
    <row r="130" spans="3:3" x14ac:dyDescent="0.25">
      <c r="C130" s="11"/>
    </row>
    <row r="131" spans="3:3" x14ac:dyDescent="0.25">
      <c r="C131" s="11"/>
    </row>
    <row r="132" spans="3:3" x14ac:dyDescent="0.25">
      <c r="C132" s="11"/>
    </row>
    <row r="133" spans="3:3" x14ac:dyDescent="0.25">
      <c r="C133" s="11"/>
    </row>
    <row r="134" spans="3:3" x14ac:dyDescent="0.25">
      <c r="C134" s="11"/>
    </row>
    <row r="135" spans="3:3" x14ac:dyDescent="0.25">
      <c r="C135" s="11"/>
    </row>
    <row r="136" spans="3:3" x14ac:dyDescent="0.25">
      <c r="C136" s="11"/>
    </row>
    <row r="137" spans="3:3" x14ac:dyDescent="0.25">
      <c r="C137" s="11"/>
    </row>
    <row r="138" spans="3:3" x14ac:dyDescent="0.25">
      <c r="C138" s="11"/>
    </row>
    <row r="139" spans="3:3" x14ac:dyDescent="0.25">
      <c r="C139" s="11"/>
    </row>
    <row r="140" spans="3:3" x14ac:dyDescent="0.25">
      <c r="C140" s="11"/>
    </row>
    <row r="141" spans="3:3" x14ac:dyDescent="0.25">
      <c r="C141" s="11"/>
    </row>
    <row r="142" spans="3:3" x14ac:dyDescent="0.25">
      <c r="C142" s="11"/>
    </row>
    <row r="143" spans="3:3" x14ac:dyDescent="0.25">
      <c r="C143" s="11"/>
    </row>
    <row r="144" spans="3:3" x14ac:dyDescent="0.25">
      <c r="C144" s="11"/>
    </row>
    <row r="145" spans="3:3" x14ac:dyDescent="0.25">
      <c r="C145" s="11"/>
    </row>
    <row r="146" spans="3:3" x14ac:dyDescent="0.25">
      <c r="C146" s="11"/>
    </row>
    <row r="147" spans="3:3" x14ac:dyDescent="0.25">
      <c r="C147" s="11"/>
    </row>
    <row r="148" spans="3:3" x14ac:dyDescent="0.25">
      <c r="C148" s="11"/>
    </row>
    <row r="149" spans="3:3" x14ac:dyDescent="0.25">
      <c r="C149" s="11"/>
    </row>
    <row r="150" spans="3:3" x14ac:dyDescent="0.25">
      <c r="C150" s="11"/>
    </row>
    <row r="151" spans="3:3" x14ac:dyDescent="0.25">
      <c r="C151" s="11"/>
    </row>
    <row r="152" spans="3:3" x14ac:dyDescent="0.25">
      <c r="C152" s="11"/>
    </row>
    <row r="153" spans="3:3" x14ac:dyDescent="0.25">
      <c r="C153" s="11"/>
    </row>
    <row r="154" spans="3:3" x14ac:dyDescent="0.25">
      <c r="C154" s="11"/>
    </row>
    <row r="155" spans="3:3" x14ac:dyDescent="0.25">
      <c r="C155" s="11"/>
    </row>
    <row r="156" spans="3:3" x14ac:dyDescent="0.25">
      <c r="C156" s="11"/>
    </row>
    <row r="157" spans="3:3" x14ac:dyDescent="0.25">
      <c r="C157" s="11"/>
    </row>
    <row r="158" spans="3:3" x14ac:dyDescent="0.25">
      <c r="C158" s="11"/>
    </row>
    <row r="159" spans="3:3" x14ac:dyDescent="0.25">
      <c r="C159" s="11"/>
    </row>
    <row r="160" spans="3:3" x14ac:dyDescent="0.25">
      <c r="C160" s="11"/>
    </row>
    <row r="161" spans="3:3" x14ac:dyDescent="0.25">
      <c r="C161" s="11"/>
    </row>
    <row r="162" spans="3:3" x14ac:dyDescent="0.25">
      <c r="C162" s="11"/>
    </row>
    <row r="163" spans="3:3" x14ac:dyDescent="0.25">
      <c r="C163" s="11"/>
    </row>
    <row r="164" spans="3:3" x14ac:dyDescent="0.25">
      <c r="C164" s="11"/>
    </row>
    <row r="165" spans="3:3" x14ac:dyDescent="0.25">
      <c r="C165" s="11"/>
    </row>
    <row r="166" spans="3:3" x14ac:dyDescent="0.25">
      <c r="C166" s="11"/>
    </row>
    <row r="167" spans="3:3" x14ac:dyDescent="0.25">
      <c r="C167" s="11"/>
    </row>
    <row r="168" spans="3:3" x14ac:dyDescent="0.25">
      <c r="C168" s="11"/>
    </row>
    <row r="169" spans="3:3" x14ac:dyDescent="0.25">
      <c r="C169" s="11"/>
    </row>
    <row r="170" spans="3:3" x14ac:dyDescent="0.25">
      <c r="C170" s="11"/>
    </row>
    <row r="171" spans="3:3" x14ac:dyDescent="0.25">
      <c r="C171" s="11"/>
    </row>
    <row r="172" spans="3:3" x14ac:dyDescent="0.25">
      <c r="C172" s="11"/>
    </row>
    <row r="173" spans="3:3" x14ac:dyDescent="0.25">
      <c r="C173" s="11"/>
    </row>
    <row r="174" spans="3:3" x14ac:dyDescent="0.25">
      <c r="C174" s="11"/>
    </row>
    <row r="175" spans="3:3" x14ac:dyDescent="0.25">
      <c r="C175" s="11"/>
    </row>
    <row r="176" spans="3:3" x14ac:dyDescent="0.25">
      <c r="C176" s="11"/>
    </row>
    <row r="177" spans="3:3" x14ac:dyDescent="0.25">
      <c r="C177" s="11"/>
    </row>
    <row r="178" spans="3:3" x14ac:dyDescent="0.25">
      <c r="C178" s="11"/>
    </row>
    <row r="179" spans="3:3" x14ac:dyDescent="0.25">
      <c r="C179" s="11"/>
    </row>
    <row r="180" spans="3:3" x14ac:dyDescent="0.25">
      <c r="C180" s="11"/>
    </row>
    <row r="181" spans="3:3" x14ac:dyDescent="0.25">
      <c r="C181" s="11"/>
    </row>
    <row r="182" spans="3:3" x14ac:dyDescent="0.25">
      <c r="C182" s="11"/>
    </row>
    <row r="183" spans="3:3" x14ac:dyDescent="0.25">
      <c r="C183" s="11"/>
    </row>
    <row r="184" spans="3:3" x14ac:dyDescent="0.25">
      <c r="C184" s="11"/>
    </row>
    <row r="185" spans="3:3" x14ac:dyDescent="0.25">
      <c r="C185" s="11"/>
    </row>
    <row r="186" spans="3:3" x14ac:dyDescent="0.25">
      <c r="C186" s="11"/>
    </row>
    <row r="187" spans="3:3" x14ac:dyDescent="0.25">
      <c r="C187" s="11"/>
    </row>
    <row r="188" spans="3:3" x14ac:dyDescent="0.25">
      <c r="C188" s="11"/>
    </row>
    <row r="189" spans="3:3" x14ac:dyDescent="0.25">
      <c r="C189" s="11"/>
    </row>
    <row r="190" spans="3:3" x14ac:dyDescent="0.25">
      <c r="C190" s="11"/>
    </row>
    <row r="191" spans="3:3" x14ac:dyDescent="0.25">
      <c r="C191" s="11"/>
    </row>
    <row r="192" spans="3:3" x14ac:dyDescent="0.25">
      <c r="C192" s="11"/>
    </row>
    <row r="193" spans="3:3" x14ac:dyDescent="0.25">
      <c r="C193" s="11"/>
    </row>
    <row r="194" spans="3:3" x14ac:dyDescent="0.25">
      <c r="C194" s="11"/>
    </row>
    <row r="195" spans="3:3" x14ac:dyDescent="0.25">
      <c r="C195" s="11"/>
    </row>
    <row r="196" spans="3:3" x14ac:dyDescent="0.25">
      <c r="C196" s="11"/>
    </row>
    <row r="197" spans="3:3" x14ac:dyDescent="0.25">
      <c r="C197" s="11"/>
    </row>
    <row r="198" spans="3:3" x14ac:dyDescent="0.25">
      <c r="C198" s="11"/>
    </row>
    <row r="199" spans="3:3" x14ac:dyDescent="0.25">
      <c r="C199" s="11"/>
    </row>
    <row r="200" spans="3:3" x14ac:dyDescent="0.25">
      <c r="C200" s="11"/>
    </row>
    <row r="201" spans="3:3" x14ac:dyDescent="0.25">
      <c r="C201" s="11"/>
    </row>
    <row r="202" spans="3:3" x14ac:dyDescent="0.25">
      <c r="C202" s="11"/>
    </row>
    <row r="203" spans="3:3" x14ac:dyDescent="0.25">
      <c r="C203" s="11"/>
    </row>
    <row r="204" spans="3:3" x14ac:dyDescent="0.25">
      <c r="C204" s="11"/>
    </row>
    <row r="205" spans="3:3" x14ac:dyDescent="0.25">
      <c r="C205" s="11"/>
    </row>
    <row r="206" spans="3:3" x14ac:dyDescent="0.25">
      <c r="C206" s="11"/>
    </row>
    <row r="207" spans="3:3" x14ac:dyDescent="0.25">
      <c r="C207" s="11"/>
    </row>
    <row r="208" spans="3:3" x14ac:dyDescent="0.25">
      <c r="C208" s="11"/>
    </row>
    <row r="209" spans="3:3" x14ac:dyDescent="0.25">
      <c r="C209" s="11"/>
    </row>
    <row r="210" spans="3:3" x14ac:dyDescent="0.25">
      <c r="C210" s="11"/>
    </row>
    <row r="211" spans="3:3" x14ac:dyDescent="0.25">
      <c r="C211" s="11"/>
    </row>
    <row r="212" spans="3:3" x14ac:dyDescent="0.25">
      <c r="C212" s="11"/>
    </row>
    <row r="213" spans="3:3" x14ac:dyDescent="0.25">
      <c r="C213" s="11"/>
    </row>
    <row r="214" spans="3:3" x14ac:dyDescent="0.25">
      <c r="C214" s="11"/>
    </row>
    <row r="215" spans="3:3" x14ac:dyDescent="0.25">
      <c r="C215" s="11"/>
    </row>
    <row r="216" spans="3:3" x14ac:dyDescent="0.25">
      <c r="C216" s="11"/>
    </row>
    <row r="217" spans="3:3" x14ac:dyDescent="0.25">
      <c r="C217" s="11"/>
    </row>
    <row r="218" spans="3:3" x14ac:dyDescent="0.25">
      <c r="C218" s="11"/>
    </row>
    <row r="219" spans="3:3" x14ac:dyDescent="0.25">
      <c r="C219" s="11"/>
    </row>
    <row r="220" spans="3:3" x14ac:dyDescent="0.25">
      <c r="C220" s="11"/>
    </row>
    <row r="221" spans="3:3" x14ac:dyDescent="0.25">
      <c r="C221" s="11"/>
    </row>
    <row r="222" spans="3:3" x14ac:dyDescent="0.25">
      <c r="C222" s="11"/>
    </row>
    <row r="223" spans="3:3" x14ac:dyDescent="0.25">
      <c r="C223" s="11"/>
    </row>
    <row r="224" spans="3:3" x14ac:dyDescent="0.25">
      <c r="C224" s="11"/>
    </row>
    <row r="225" spans="3:3" x14ac:dyDescent="0.25">
      <c r="C225" s="11"/>
    </row>
    <row r="226" spans="3:3" x14ac:dyDescent="0.25">
      <c r="C226" s="11"/>
    </row>
    <row r="227" spans="3:3" x14ac:dyDescent="0.25">
      <c r="C227" s="11"/>
    </row>
    <row r="228" spans="3:3" x14ac:dyDescent="0.25">
      <c r="C228" s="11"/>
    </row>
    <row r="229" spans="3:3" x14ac:dyDescent="0.25">
      <c r="C229" s="11"/>
    </row>
    <row r="230" spans="3:3" x14ac:dyDescent="0.25">
      <c r="C230" s="11"/>
    </row>
    <row r="231" spans="3:3" x14ac:dyDescent="0.25">
      <c r="C231" s="11"/>
    </row>
    <row r="232" spans="3:3" x14ac:dyDescent="0.25">
      <c r="C232" s="11"/>
    </row>
    <row r="233" spans="3:3" x14ac:dyDescent="0.25">
      <c r="C233" s="11"/>
    </row>
    <row r="234" spans="3:3" x14ac:dyDescent="0.25">
      <c r="C234" s="11"/>
    </row>
    <row r="235" spans="3:3" x14ac:dyDescent="0.25">
      <c r="C235" s="11"/>
    </row>
    <row r="236" spans="3:3" x14ac:dyDescent="0.25">
      <c r="C236" s="11"/>
    </row>
    <row r="237" spans="3:3" x14ac:dyDescent="0.25">
      <c r="C237" s="11"/>
    </row>
    <row r="238" spans="3:3" x14ac:dyDescent="0.25">
      <c r="C238" s="11"/>
    </row>
    <row r="239" spans="3:3" x14ac:dyDescent="0.25">
      <c r="C239" s="11"/>
    </row>
    <row r="240" spans="3:3" x14ac:dyDescent="0.25">
      <c r="C240" s="11"/>
    </row>
    <row r="242" spans="3:3" x14ac:dyDescent="0.25">
      <c r="C242" s="11"/>
    </row>
    <row r="243" spans="3:3" x14ac:dyDescent="0.25">
      <c r="C243" s="11"/>
    </row>
    <row r="244" spans="3:3" x14ac:dyDescent="0.25">
      <c r="C244" s="11"/>
    </row>
    <row r="245" spans="3:3" x14ac:dyDescent="0.25">
      <c r="C245" s="11"/>
    </row>
    <row r="246" spans="3:3" x14ac:dyDescent="0.25">
      <c r="C246" s="11"/>
    </row>
    <row r="247" spans="3:3" x14ac:dyDescent="0.25">
      <c r="C247" s="11"/>
    </row>
    <row r="248" spans="3:3" x14ac:dyDescent="0.25">
      <c r="C248" s="11"/>
    </row>
    <row r="249" spans="3:3" x14ac:dyDescent="0.25">
      <c r="C249" s="11"/>
    </row>
    <row r="250" spans="3:3" x14ac:dyDescent="0.25">
      <c r="C250" s="11"/>
    </row>
    <row r="251" spans="3:3" x14ac:dyDescent="0.25">
      <c r="C251" s="11"/>
    </row>
    <row r="252" spans="3:3" x14ac:dyDescent="0.25">
      <c r="C252" s="11"/>
    </row>
    <row r="253" spans="3:3" x14ac:dyDescent="0.25">
      <c r="C253" s="11"/>
    </row>
    <row r="254" spans="3:3" x14ac:dyDescent="0.25">
      <c r="C254" s="11"/>
    </row>
    <row r="255" spans="3:3" x14ac:dyDescent="0.25">
      <c r="C255" s="11"/>
    </row>
    <row r="256" spans="3:3" x14ac:dyDescent="0.25">
      <c r="C256" s="11"/>
    </row>
    <row r="257" spans="3:3" x14ac:dyDescent="0.25">
      <c r="C257" s="11"/>
    </row>
    <row r="258" spans="3:3" x14ac:dyDescent="0.25">
      <c r="C258" s="11"/>
    </row>
    <row r="259" spans="3:3" x14ac:dyDescent="0.25">
      <c r="C259" s="11"/>
    </row>
    <row r="260" spans="3:3" x14ac:dyDescent="0.25">
      <c r="C260" s="11"/>
    </row>
    <row r="261" spans="3:3" x14ac:dyDescent="0.25">
      <c r="C261" s="11"/>
    </row>
    <row r="262" spans="3:3" x14ac:dyDescent="0.25">
      <c r="C262" s="11"/>
    </row>
    <row r="263" spans="3:3" x14ac:dyDescent="0.25">
      <c r="C263" s="11"/>
    </row>
    <row r="264" spans="3:3" x14ac:dyDescent="0.25">
      <c r="C264" s="11"/>
    </row>
    <row r="265" spans="3:3" x14ac:dyDescent="0.25">
      <c r="C265" s="11"/>
    </row>
    <row r="266" spans="3:3" x14ac:dyDescent="0.25">
      <c r="C266" s="11"/>
    </row>
    <row r="267" spans="3:3" x14ac:dyDescent="0.25">
      <c r="C267" s="11"/>
    </row>
    <row r="268" spans="3:3" x14ac:dyDescent="0.25">
      <c r="C268" s="11"/>
    </row>
    <row r="269" spans="3:3" x14ac:dyDescent="0.25">
      <c r="C269" s="11"/>
    </row>
    <row r="270" spans="3:3" x14ac:dyDescent="0.25">
      <c r="C270" s="11"/>
    </row>
    <row r="271" spans="3:3" x14ac:dyDescent="0.25">
      <c r="C271" s="11"/>
    </row>
    <row r="272" spans="3:3" x14ac:dyDescent="0.25">
      <c r="C272" s="11"/>
    </row>
    <row r="273" spans="3:3" x14ac:dyDescent="0.25">
      <c r="C273" s="11"/>
    </row>
    <row r="274" spans="3:3" x14ac:dyDescent="0.25">
      <c r="C274" s="11"/>
    </row>
    <row r="275" spans="3:3" x14ac:dyDescent="0.25">
      <c r="C275" s="11"/>
    </row>
    <row r="276" spans="3:3" x14ac:dyDescent="0.25">
      <c r="C276" s="11"/>
    </row>
    <row r="277" spans="3:3" x14ac:dyDescent="0.25">
      <c r="C277" s="11"/>
    </row>
    <row r="278" spans="3:3" x14ac:dyDescent="0.25">
      <c r="C278" s="11"/>
    </row>
    <row r="279" spans="3:3" x14ac:dyDescent="0.25">
      <c r="C279" s="11"/>
    </row>
    <row r="280" spans="3:3" x14ac:dyDescent="0.25">
      <c r="C280" s="11"/>
    </row>
    <row r="281" spans="3:3" x14ac:dyDescent="0.25">
      <c r="C281" s="11"/>
    </row>
    <row r="282" spans="3:3" x14ac:dyDescent="0.25">
      <c r="C282" s="11"/>
    </row>
    <row r="283" spans="3:3" x14ac:dyDescent="0.25">
      <c r="C283" s="11"/>
    </row>
    <row r="284" spans="3:3" x14ac:dyDescent="0.25">
      <c r="C284" s="11"/>
    </row>
    <row r="285" spans="3:3" x14ac:dyDescent="0.25">
      <c r="C285" s="11"/>
    </row>
    <row r="286" spans="3:3" x14ac:dyDescent="0.25">
      <c r="C286" s="11"/>
    </row>
    <row r="287" spans="3:3" x14ac:dyDescent="0.25">
      <c r="C287" s="11"/>
    </row>
    <row r="288" spans="3:3" x14ac:dyDescent="0.25">
      <c r="C288" s="11"/>
    </row>
    <row r="289" spans="3:3" x14ac:dyDescent="0.25">
      <c r="C289" s="11"/>
    </row>
    <row r="290" spans="3:3" x14ac:dyDescent="0.25">
      <c r="C290" s="11"/>
    </row>
    <row r="291" spans="3:3" x14ac:dyDescent="0.25">
      <c r="C291" s="11"/>
    </row>
    <row r="292" spans="3:3" x14ac:dyDescent="0.25">
      <c r="C292" s="11"/>
    </row>
    <row r="293" spans="3:3" x14ac:dyDescent="0.25">
      <c r="C293" s="11"/>
    </row>
    <row r="294" spans="3:3" x14ac:dyDescent="0.25">
      <c r="C294" s="11"/>
    </row>
    <row r="295" spans="3:3" x14ac:dyDescent="0.25">
      <c r="C295" s="11"/>
    </row>
    <row r="296" spans="3:3" x14ac:dyDescent="0.25">
      <c r="C296" s="11"/>
    </row>
    <row r="297" spans="3:3" x14ac:dyDescent="0.25">
      <c r="C297" s="11"/>
    </row>
    <row r="298" spans="3:3" x14ac:dyDescent="0.25">
      <c r="C298" s="11"/>
    </row>
    <row r="299" spans="3:3" x14ac:dyDescent="0.25">
      <c r="C299" s="11"/>
    </row>
    <row r="300" spans="3:3" x14ac:dyDescent="0.25">
      <c r="C300" s="11"/>
    </row>
    <row r="301" spans="3:3" x14ac:dyDescent="0.25">
      <c r="C301" s="11"/>
    </row>
    <row r="302" spans="3:3" x14ac:dyDescent="0.25">
      <c r="C302" s="11"/>
    </row>
    <row r="303" spans="3:3" x14ac:dyDescent="0.25">
      <c r="C303" s="11"/>
    </row>
    <row r="304" spans="3:3" x14ac:dyDescent="0.25">
      <c r="C304" s="11"/>
    </row>
    <row r="305" spans="3:3" x14ac:dyDescent="0.25">
      <c r="C305" s="11"/>
    </row>
    <row r="306" spans="3:3" x14ac:dyDescent="0.25">
      <c r="C306" s="11"/>
    </row>
    <row r="307" spans="3:3" x14ac:dyDescent="0.25">
      <c r="C307" s="11"/>
    </row>
    <row r="308" spans="3:3" x14ac:dyDescent="0.25">
      <c r="C308" s="11"/>
    </row>
    <row r="309" spans="3:3" x14ac:dyDescent="0.25">
      <c r="C309" s="11"/>
    </row>
    <row r="310" spans="3:3" x14ac:dyDescent="0.25">
      <c r="C310" s="11"/>
    </row>
    <row r="311" spans="3:3" x14ac:dyDescent="0.25">
      <c r="C311" s="11"/>
    </row>
    <row r="312" spans="3:3" x14ac:dyDescent="0.25">
      <c r="C312" s="11"/>
    </row>
    <row r="313" spans="3:3" x14ac:dyDescent="0.25">
      <c r="C313" s="11"/>
    </row>
    <row r="314" spans="3:3" x14ac:dyDescent="0.25">
      <c r="C314" s="11"/>
    </row>
    <row r="315" spans="3:3" x14ac:dyDescent="0.25">
      <c r="C315" s="11"/>
    </row>
    <row r="316" spans="3:3" x14ac:dyDescent="0.25">
      <c r="C316" s="11"/>
    </row>
    <row r="317" spans="3:3" x14ac:dyDescent="0.25">
      <c r="C317" s="11"/>
    </row>
    <row r="318" spans="3:3" x14ac:dyDescent="0.25">
      <c r="C318" s="11"/>
    </row>
    <row r="319" spans="3:3" x14ac:dyDescent="0.25">
      <c r="C319" s="11"/>
    </row>
    <row r="320" spans="3:3" x14ac:dyDescent="0.25">
      <c r="C320" s="11"/>
    </row>
    <row r="321" spans="3:3" x14ac:dyDescent="0.25">
      <c r="C321" s="11"/>
    </row>
    <row r="322" spans="3:3" x14ac:dyDescent="0.25">
      <c r="C322" s="11"/>
    </row>
    <row r="323" spans="3:3" x14ac:dyDescent="0.25">
      <c r="C323" s="11"/>
    </row>
    <row r="324" spans="3:3" x14ac:dyDescent="0.25">
      <c r="C324" s="11"/>
    </row>
    <row r="325" spans="3:3" x14ac:dyDescent="0.25">
      <c r="C325" s="11"/>
    </row>
    <row r="326" spans="3:3" x14ac:dyDescent="0.25">
      <c r="C326" s="11"/>
    </row>
    <row r="327" spans="3:3" x14ac:dyDescent="0.25">
      <c r="C327" s="11"/>
    </row>
    <row r="328" spans="3:3" x14ac:dyDescent="0.25">
      <c r="C328" s="11"/>
    </row>
    <row r="329" spans="3:3" x14ac:dyDescent="0.25">
      <c r="C329" s="11"/>
    </row>
    <row r="330" spans="3:3" x14ac:dyDescent="0.25">
      <c r="C330" s="11"/>
    </row>
    <row r="331" spans="3:3" x14ac:dyDescent="0.25">
      <c r="C331" s="11"/>
    </row>
    <row r="332" spans="3:3" x14ac:dyDescent="0.25">
      <c r="C332" s="11"/>
    </row>
    <row r="333" spans="3:3" x14ac:dyDescent="0.25">
      <c r="C333" s="11"/>
    </row>
    <row r="334" spans="3:3" x14ac:dyDescent="0.25">
      <c r="C334" s="11"/>
    </row>
    <row r="335" spans="3:3" x14ac:dyDescent="0.25">
      <c r="C335" s="11"/>
    </row>
    <row r="336" spans="3:3" x14ac:dyDescent="0.25">
      <c r="C336" s="11"/>
    </row>
    <row r="337" spans="3:3" x14ac:dyDescent="0.25">
      <c r="C337" s="11"/>
    </row>
    <row r="338" spans="3:3" x14ac:dyDescent="0.25">
      <c r="C338" s="11"/>
    </row>
    <row r="339" spans="3:3" x14ac:dyDescent="0.25">
      <c r="C339" s="11"/>
    </row>
    <row r="340" spans="3:3" x14ac:dyDescent="0.25">
      <c r="C340" s="11"/>
    </row>
    <row r="341" spans="3:3" x14ac:dyDescent="0.25">
      <c r="C341" s="11"/>
    </row>
    <row r="342" spans="3:3" x14ac:dyDescent="0.25">
      <c r="C342" s="11"/>
    </row>
    <row r="343" spans="3:3" x14ac:dyDescent="0.25">
      <c r="C343" s="11"/>
    </row>
    <row r="344" spans="3:3" x14ac:dyDescent="0.25">
      <c r="C344" s="11"/>
    </row>
    <row r="345" spans="3:3" x14ac:dyDescent="0.25">
      <c r="C345" s="11"/>
    </row>
    <row r="346" spans="3:3" x14ac:dyDescent="0.25">
      <c r="C346" s="11"/>
    </row>
    <row r="347" spans="3:3" x14ac:dyDescent="0.25">
      <c r="C347" s="11"/>
    </row>
    <row r="348" spans="3:3" x14ac:dyDescent="0.25">
      <c r="C348" s="11"/>
    </row>
    <row r="349" spans="3:3" x14ac:dyDescent="0.25">
      <c r="C349" s="11"/>
    </row>
    <row r="350" spans="3:3" x14ac:dyDescent="0.25">
      <c r="C350" s="11"/>
    </row>
    <row r="351" spans="3:3" x14ac:dyDescent="0.25">
      <c r="C351" s="11"/>
    </row>
    <row r="352" spans="3:3" x14ac:dyDescent="0.25">
      <c r="C352" s="11"/>
    </row>
    <row r="353" spans="3:3" x14ac:dyDescent="0.25">
      <c r="C353" s="11"/>
    </row>
    <row r="354" spans="3:3" x14ac:dyDescent="0.25">
      <c r="C354" s="11"/>
    </row>
    <row r="355" spans="3:3" x14ac:dyDescent="0.25">
      <c r="C355" s="11"/>
    </row>
    <row r="356" spans="3:3" x14ac:dyDescent="0.25">
      <c r="C356" s="11"/>
    </row>
    <row r="357" spans="3:3" x14ac:dyDescent="0.25">
      <c r="C357" s="11"/>
    </row>
    <row r="358" spans="3:3" x14ac:dyDescent="0.25">
      <c r="C358" s="11"/>
    </row>
    <row r="359" spans="3:3" x14ac:dyDescent="0.25">
      <c r="C359" s="11"/>
    </row>
    <row r="360" spans="3:3" x14ac:dyDescent="0.25">
      <c r="C360" s="11"/>
    </row>
    <row r="361" spans="3:3" x14ac:dyDescent="0.25">
      <c r="C361" s="11"/>
    </row>
  </sheetData>
  <mergeCells count="12">
    <mergeCell ref="A13:F13"/>
    <mergeCell ref="G13:L13"/>
    <mergeCell ref="M13:R13"/>
    <mergeCell ref="A23:F23"/>
    <mergeCell ref="G23:L23"/>
    <mergeCell ref="M23:R23"/>
    <mergeCell ref="N2:R2"/>
    <mergeCell ref="M3:R3"/>
    <mergeCell ref="B2:F2"/>
    <mergeCell ref="G3:L3"/>
    <mergeCell ref="H2:L2"/>
    <mergeCell ref="A3:F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1AD8-3391-4DC5-9FBF-000E430C6D60}">
  <dimension ref="A1:AD361"/>
  <sheetViews>
    <sheetView topLeftCell="P10" zoomScale="50" zoomScaleNormal="100" workbookViewId="0">
      <selection activeCell="K37" sqref="K37"/>
    </sheetView>
  </sheetViews>
  <sheetFormatPr defaultColWidth="8.875" defaultRowHeight="16.5" x14ac:dyDescent="0.25"/>
  <cols>
    <col min="1" max="2" width="10.75" style="11" customWidth="1"/>
    <col min="3" max="61" width="10.75" style="10" customWidth="1"/>
    <col min="62" max="16384" width="8.875" style="10"/>
  </cols>
  <sheetData>
    <row r="1" spans="1:30" ht="17.25" thickBot="1" x14ac:dyDescent="0.3">
      <c r="A1" s="73">
        <v>50</v>
      </c>
      <c r="B1" s="74"/>
      <c r="C1" s="75">
        <v>100</v>
      </c>
      <c r="D1" s="74"/>
      <c r="E1" s="75">
        <v>150</v>
      </c>
      <c r="F1" s="74"/>
      <c r="G1" s="75">
        <v>200</v>
      </c>
      <c r="H1" s="74"/>
      <c r="I1" s="75">
        <v>250</v>
      </c>
      <c r="J1" s="76">
        <v>250</v>
      </c>
      <c r="K1" s="73">
        <v>50</v>
      </c>
      <c r="L1" s="74"/>
      <c r="M1" s="75">
        <v>100</v>
      </c>
      <c r="N1" s="74"/>
      <c r="O1" s="75">
        <v>150</v>
      </c>
      <c r="P1" s="74"/>
      <c r="Q1" s="75">
        <v>200</v>
      </c>
      <c r="R1" s="74"/>
      <c r="S1" s="75">
        <v>250</v>
      </c>
      <c r="T1" s="77">
        <v>250</v>
      </c>
      <c r="U1" s="75">
        <v>50</v>
      </c>
      <c r="V1" s="74"/>
      <c r="W1" s="75">
        <v>100</v>
      </c>
      <c r="X1" s="74"/>
      <c r="Y1" s="75">
        <v>150</v>
      </c>
      <c r="Z1" s="74"/>
      <c r="AA1" s="75">
        <v>200</v>
      </c>
      <c r="AB1" s="74"/>
      <c r="AC1" s="75">
        <v>250</v>
      </c>
      <c r="AD1" s="77">
        <v>250</v>
      </c>
    </row>
    <row r="2" spans="1:30" ht="17.25" thickBot="1" x14ac:dyDescent="0.3">
      <c r="A2" s="1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2" t="s">
        <v>2</v>
      </c>
      <c r="K2" s="1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2" t="s">
        <v>2</v>
      </c>
      <c r="U2" s="1" t="s">
        <v>1</v>
      </c>
      <c r="V2" s="2" t="s">
        <v>2</v>
      </c>
      <c r="W2" s="2" t="s">
        <v>1</v>
      </c>
      <c r="X2" s="2" t="s">
        <v>2</v>
      </c>
      <c r="Y2" s="2" t="s">
        <v>1</v>
      </c>
      <c r="Z2" s="2" t="s">
        <v>2</v>
      </c>
      <c r="AA2" s="2" t="s">
        <v>1</v>
      </c>
      <c r="AB2" s="2" t="s">
        <v>2</v>
      </c>
      <c r="AC2" s="2" t="s">
        <v>1</v>
      </c>
      <c r="AD2" s="3" t="s">
        <v>2</v>
      </c>
    </row>
    <row r="3" spans="1:30" ht="17.25" thickBot="1" x14ac:dyDescent="0.3">
      <c r="A3" s="67" t="s">
        <v>4</v>
      </c>
      <c r="B3" s="68"/>
      <c r="C3" s="68"/>
      <c r="D3" s="68"/>
      <c r="E3" s="68"/>
      <c r="F3" s="68"/>
      <c r="G3" s="68"/>
      <c r="H3" s="68"/>
      <c r="I3" s="68"/>
      <c r="J3" s="69"/>
      <c r="K3" s="70" t="s">
        <v>5</v>
      </c>
      <c r="L3" s="71"/>
      <c r="M3" s="71"/>
      <c r="N3" s="71"/>
      <c r="O3" s="71"/>
      <c r="P3" s="71"/>
      <c r="Q3" s="71"/>
      <c r="R3" s="71"/>
      <c r="S3" s="71"/>
      <c r="T3" s="72"/>
      <c r="U3" s="70" t="s">
        <v>13</v>
      </c>
      <c r="V3" s="71"/>
      <c r="W3" s="71"/>
      <c r="X3" s="71"/>
      <c r="Y3" s="71"/>
      <c r="Z3" s="71"/>
      <c r="AA3" s="71"/>
      <c r="AB3" s="71"/>
      <c r="AC3" s="71"/>
      <c r="AD3" s="72"/>
    </row>
    <row r="4" spans="1:30" x14ac:dyDescent="0.25">
      <c r="A4" s="23">
        <v>3.6</v>
      </c>
      <c r="B4" s="4">
        <v>7.0000000000000007E-2</v>
      </c>
      <c r="C4" s="4">
        <v>8</v>
      </c>
      <c r="D4" s="4">
        <v>0.33</v>
      </c>
      <c r="E4" s="4">
        <v>8</v>
      </c>
      <c r="F4" s="4">
        <v>0.64</v>
      </c>
      <c r="G4" s="4">
        <v>7.9</v>
      </c>
      <c r="H4" s="4">
        <v>0.9</v>
      </c>
      <c r="I4" s="4">
        <v>7.8</v>
      </c>
      <c r="J4" s="5">
        <v>1.1599999999999999</v>
      </c>
      <c r="K4" s="23">
        <v>7.2</v>
      </c>
      <c r="L4" s="4">
        <v>0.45</v>
      </c>
      <c r="M4" s="4">
        <v>6.8</v>
      </c>
      <c r="N4" s="4">
        <v>0.97</v>
      </c>
      <c r="O4" s="4">
        <v>5.5</v>
      </c>
      <c r="P4" s="4">
        <v>1.46</v>
      </c>
      <c r="Q4" s="4">
        <v>6.1</v>
      </c>
      <c r="R4" s="4">
        <v>2.23</v>
      </c>
      <c r="S4" s="4">
        <v>6.1</v>
      </c>
      <c r="T4" s="5">
        <v>1.64</v>
      </c>
      <c r="U4" s="23">
        <v>5.5</v>
      </c>
      <c r="V4" s="4">
        <v>0.37</v>
      </c>
      <c r="W4" s="4">
        <v>4.8</v>
      </c>
      <c r="X4" s="4">
        <v>1.01</v>
      </c>
      <c r="Y4" s="4">
        <v>3.7</v>
      </c>
      <c r="Z4" s="4">
        <v>1.41</v>
      </c>
      <c r="AA4" s="4">
        <v>6.9</v>
      </c>
      <c r="AB4" s="4">
        <v>2.02</v>
      </c>
      <c r="AC4" s="4">
        <v>7.3</v>
      </c>
      <c r="AD4" s="5">
        <v>2.25</v>
      </c>
    </row>
    <row r="5" spans="1:30" x14ac:dyDescent="0.25">
      <c r="A5" s="28">
        <v>19</v>
      </c>
      <c r="B5" s="6">
        <v>0.21</v>
      </c>
      <c r="C5" s="6">
        <v>12.8</v>
      </c>
      <c r="D5" s="6">
        <v>0.41</v>
      </c>
      <c r="E5" s="6">
        <v>12.5</v>
      </c>
      <c r="F5" s="6">
        <v>0.73</v>
      </c>
      <c r="G5" s="6">
        <v>12.5</v>
      </c>
      <c r="H5" s="6">
        <v>1.05</v>
      </c>
      <c r="I5" s="6">
        <v>12.3</v>
      </c>
      <c r="J5" s="7">
        <v>1.35</v>
      </c>
      <c r="K5" s="28">
        <v>11.7</v>
      </c>
      <c r="L5" s="6">
        <v>0.51</v>
      </c>
      <c r="M5" s="6">
        <v>11.1</v>
      </c>
      <c r="N5" s="6">
        <v>1.1399999999999999</v>
      </c>
      <c r="O5" s="6">
        <v>10</v>
      </c>
      <c r="P5" s="6">
        <v>1.69</v>
      </c>
      <c r="Q5" s="6">
        <v>11</v>
      </c>
      <c r="R5" s="6">
        <v>2.42</v>
      </c>
      <c r="S5" s="6">
        <v>10.4</v>
      </c>
      <c r="T5" s="7">
        <v>3.02</v>
      </c>
      <c r="U5" s="28">
        <v>7.5</v>
      </c>
      <c r="V5" s="6">
        <v>0.54</v>
      </c>
      <c r="W5" s="6">
        <v>9</v>
      </c>
      <c r="X5" s="6">
        <v>1.0900000000000001</v>
      </c>
      <c r="Y5" s="6">
        <v>10.9</v>
      </c>
      <c r="Z5" s="6">
        <v>1.93</v>
      </c>
      <c r="AA5" s="6">
        <v>11.7</v>
      </c>
      <c r="AB5" s="6">
        <v>2.19</v>
      </c>
      <c r="AC5" s="6">
        <v>10.9</v>
      </c>
      <c r="AD5" s="7">
        <v>3.1</v>
      </c>
    </row>
    <row r="6" spans="1:30" x14ac:dyDescent="0.25">
      <c r="A6" s="28">
        <v>35.6</v>
      </c>
      <c r="B6" s="6">
        <v>0.24</v>
      </c>
      <c r="C6" s="6">
        <v>17.5</v>
      </c>
      <c r="D6" s="6">
        <v>0.48</v>
      </c>
      <c r="E6" s="6">
        <v>17.399999999999999</v>
      </c>
      <c r="F6" s="6">
        <v>0.75</v>
      </c>
      <c r="G6" s="6">
        <v>17.100000000000001</v>
      </c>
      <c r="H6" s="6">
        <v>1.1399999999999999</v>
      </c>
      <c r="I6" s="6">
        <v>17.100000000000001</v>
      </c>
      <c r="J6" s="7">
        <v>1.42</v>
      </c>
      <c r="K6" s="28">
        <v>16.600000000000001</v>
      </c>
      <c r="L6" s="6">
        <v>0.52</v>
      </c>
      <c r="M6" s="6">
        <v>15.6</v>
      </c>
      <c r="N6" s="6">
        <v>1.24</v>
      </c>
      <c r="O6" s="6">
        <v>15.6</v>
      </c>
      <c r="P6" s="6">
        <v>1.87</v>
      </c>
      <c r="Q6" s="6">
        <v>15.2</v>
      </c>
      <c r="R6" s="6">
        <v>2.59</v>
      </c>
      <c r="S6" s="6">
        <v>14.1</v>
      </c>
      <c r="T6" s="7">
        <v>3.11</v>
      </c>
      <c r="U6" s="28">
        <v>14.5</v>
      </c>
      <c r="V6" s="6">
        <v>0.64</v>
      </c>
      <c r="W6" s="6">
        <v>10.5</v>
      </c>
      <c r="X6" s="6">
        <v>1.26</v>
      </c>
      <c r="Y6" s="6">
        <v>12.8</v>
      </c>
      <c r="Z6" s="6">
        <v>2.1</v>
      </c>
      <c r="AA6" s="6">
        <v>13.2</v>
      </c>
      <c r="AB6" s="6">
        <v>2.66</v>
      </c>
      <c r="AC6" s="6">
        <v>12.1</v>
      </c>
      <c r="AD6" s="7">
        <v>3.2</v>
      </c>
    </row>
    <row r="7" spans="1:30" x14ac:dyDescent="0.25">
      <c r="A7" s="28">
        <v>58</v>
      </c>
      <c r="B7" s="6">
        <v>0.32</v>
      </c>
      <c r="C7" s="6">
        <v>36.9</v>
      </c>
      <c r="D7" s="6">
        <v>0.64</v>
      </c>
      <c r="E7" s="6">
        <v>32.1</v>
      </c>
      <c r="F7" s="6">
        <v>0.96</v>
      </c>
      <c r="G7" s="6">
        <v>31.9</v>
      </c>
      <c r="H7" s="6">
        <v>1.35</v>
      </c>
      <c r="I7" s="6">
        <v>31.7</v>
      </c>
      <c r="J7" s="7">
        <v>1.69</v>
      </c>
      <c r="K7" s="28">
        <v>31</v>
      </c>
      <c r="L7" s="6">
        <v>0.62</v>
      </c>
      <c r="M7" s="6">
        <v>30.6</v>
      </c>
      <c r="N7" s="6">
        <v>1.44</v>
      </c>
      <c r="O7" s="6">
        <v>30.1</v>
      </c>
      <c r="P7" s="6">
        <v>2.15</v>
      </c>
      <c r="Q7" s="6">
        <v>29.7</v>
      </c>
      <c r="R7" s="6">
        <v>2.96</v>
      </c>
      <c r="S7" s="6">
        <v>29.2</v>
      </c>
      <c r="T7" s="7">
        <v>3.58</v>
      </c>
      <c r="U7" s="28">
        <v>24</v>
      </c>
      <c r="V7" s="6">
        <v>0.84</v>
      </c>
      <c r="W7" s="6">
        <v>27.5</v>
      </c>
      <c r="X7" s="6">
        <v>1.69</v>
      </c>
      <c r="Y7" s="6">
        <v>26.9</v>
      </c>
      <c r="Z7" s="6">
        <v>2.52</v>
      </c>
      <c r="AA7" s="6">
        <v>31</v>
      </c>
      <c r="AB7" s="6">
        <v>3.34</v>
      </c>
      <c r="AC7" s="6">
        <v>27.5</v>
      </c>
      <c r="AD7" s="7">
        <v>4.2</v>
      </c>
    </row>
    <row r="8" spans="1:30" x14ac:dyDescent="0.25">
      <c r="A8" s="28">
        <v>93.5</v>
      </c>
      <c r="B8" s="6">
        <v>0.38</v>
      </c>
      <c r="C8" s="6">
        <v>92</v>
      </c>
      <c r="D8" s="6">
        <v>0.76</v>
      </c>
      <c r="E8" s="6">
        <v>46.8</v>
      </c>
      <c r="F8" s="6">
        <v>1.1399999999999999</v>
      </c>
      <c r="G8" s="6">
        <v>46.9</v>
      </c>
      <c r="H8" s="6">
        <v>1.52</v>
      </c>
      <c r="I8" s="6">
        <v>46.6</v>
      </c>
      <c r="J8" s="7">
        <v>1.9</v>
      </c>
      <c r="K8" s="28">
        <v>46</v>
      </c>
      <c r="L8" s="6">
        <v>0.71</v>
      </c>
      <c r="M8" s="6">
        <v>45.5</v>
      </c>
      <c r="N8" s="6">
        <v>1.54</v>
      </c>
      <c r="O8" s="6">
        <v>44.4</v>
      </c>
      <c r="P8" s="6">
        <v>2.34</v>
      </c>
      <c r="Q8" s="6">
        <v>44.5</v>
      </c>
      <c r="R8" s="6">
        <v>3.22</v>
      </c>
      <c r="S8" s="6">
        <v>45.2</v>
      </c>
      <c r="T8" s="7">
        <v>4.18</v>
      </c>
      <c r="U8" s="28">
        <v>44.5</v>
      </c>
      <c r="V8" s="6">
        <v>1.01</v>
      </c>
      <c r="W8" s="6">
        <v>46.8</v>
      </c>
      <c r="X8" s="6">
        <v>2.02</v>
      </c>
      <c r="Y8" s="6">
        <v>46</v>
      </c>
      <c r="Z8" s="6">
        <v>3</v>
      </c>
      <c r="AA8" s="6">
        <v>43.6</v>
      </c>
      <c r="AB8" s="6">
        <v>3.97</v>
      </c>
      <c r="AC8" s="6">
        <v>46.1</v>
      </c>
      <c r="AD8" s="7">
        <v>4.95</v>
      </c>
    </row>
    <row r="9" spans="1:30" x14ac:dyDescent="0.25">
      <c r="A9" s="28"/>
      <c r="B9" s="6"/>
      <c r="C9" s="6"/>
      <c r="D9" s="6"/>
      <c r="E9" s="6">
        <v>72.7</v>
      </c>
      <c r="F9" s="6">
        <v>1.28</v>
      </c>
      <c r="G9" s="6">
        <v>68.5</v>
      </c>
      <c r="H9" s="6">
        <v>1.7</v>
      </c>
      <c r="I9" s="6">
        <v>62.1</v>
      </c>
      <c r="J9" s="7">
        <v>2.13</v>
      </c>
      <c r="K9" s="28">
        <v>60.5</v>
      </c>
      <c r="L9" s="6">
        <v>0.75</v>
      </c>
      <c r="M9" s="6">
        <v>60.5</v>
      </c>
      <c r="N9" s="6">
        <v>1.61</v>
      </c>
      <c r="O9" s="6">
        <v>59.8</v>
      </c>
      <c r="P9" s="6">
        <v>2.38</v>
      </c>
      <c r="Q9" s="6">
        <v>59.2</v>
      </c>
      <c r="R9" s="6">
        <v>3.28</v>
      </c>
      <c r="S9" s="6">
        <v>60.1</v>
      </c>
      <c r="T9" s="7">
        <v>4.2300000000000004</v>
      </c>
      <c r="U9" s="28">
        <v>66.5</v>
      </c>
      <c r="V9" s="6">
        <v>1.0900000000000001</v>
      </c>
      <c r="W9" s="6">
        <v>64.2</v>
      </c>
      <c r="X9" s="6">
        <v>2.17</v>
      </c>
      <c r="Y9" s="6">
        <v>73</v>
      </c>
      <c r="Z9" s="6">
        <v>3.3</v>
      </c>
      <c r="AA9" s="6">
        <v>63.6</v>
      </c>
      <c r="AB9" s="6">
        <v>4.3499999999999996</v>
      </c>
      <c r="AC9" s="6">
        <v>69.400000000000006</v>
      </c>
      <c r="AD9" s="7">
        <v>5.46</v>
      </c>
    </row>
    <row r="10" spans="1:30" x14ac:dyDescent="0.25">
      <c r="A10" s="28"/>
      <c r="B10" s="6"/>
      <c r="C10" s="6"/>
      <c r="D10" s="6"/>
      <c r="E10" s="6">
        <v>91.8</v>
      </c>
      <c r="F10" s="6">
        <v>1.35</v>
      </c>
      <c r="G10" s="6">
        <v>92.1</v>
      </c>
      <c r="H10" s="6">
        <v>2</v>
      </c>
      <c r="I10" s="6">
        <v>93.8</v>
      </c>
      <c r="J10" s="7">
        <v>2.75</v>
      </c>
      <c r="K10" s="28">
        <v>76.2</v>
      </c>
      <c r="L10" s="6">
        <v>0.71</v>
      </c>
      <c r="M10" s="6">
        <v>75.2</v>
      </c>
      <c r="N10" s="6">
        <v>1.57</v>
      </c>
      <c r="O10" s="6">
        <v>74</v>
      </c>
      <c r="P10" s="6">
        <v>2.29</v>
      </c>
      <c r="Q10" s="6">
        <v>74.900000000000006</v>
      </c>
      <c r="R10" s="6">
        <v>3.24</v>
      </c>
      <c r="S10" s="6">
        <v>75.400000000000006</v>
      </c>
      <c r="T10" s="7">
        <v>4.1399999999999997</v>
      </c>
      <c r="U10" s="28">
        <v>85</v>
      </c>
      <c r="V10" s="6">
        <v>1.1399999999999999</v>
      </c>
      <c r="W10" s="6">
        <v>89.5</v>
      </c>
      <c r="X10" s="6">
        <v>2.25</v>
      </c>
      <c r="Y10" s="6">
        <v>90.4</v>
      </c>
      <c r="Z10" s="6">
        <v>3.47</v>
      </c>
      <c r="AA10" s="6">
        <v>91</v>
      </c>
      <c r="AB10" s="6">
        <v>4.71</v>
      </c>
      <c r="AC10" s="6">
        <v>90</v>
      </c>
      <c r="AD10" s="7">
        <v>5.85</v>
      </c>
    </row>
    <row r="11" spans="1:30" ht="17.25" thickBot="1" x14ac:dyDescent="0.3">
      <c r="A11" s="29"/>
      <c r="B11" s="14"/>
      <c r="C11" s="14"/>
      <c r="D11" s="14"/>
      <c r="E11" s="14"/>
      <c r="F11" s="14"/>
      <c r="G11" s="14"/>
      <c r="H11" s="14"/>
      <c r="I11" s="14"/>
      <c r="J11" s="15"/>
      <c r="K11" s="29">
        <v>91.1</v>
      </c>
      <c r="L11" s="14">
        <v>0.79</v>
      </c>
      <c r="M11" s="14">
        <v>90.6</v>
      </c>
      <c r="N11" s="14">
        <v>1.57</v>
      </c>
      <c r="O11" s="14">
        <v>89.5</v>
      </c>
      <c r="P11" s="14">
        <v>2.2999999999999998</v>
      </c>
      <c r="Q11" s="14">
        <v>90.1</v>
      </c>
      <c r="R11" s="14">
        <v>3.2</v>
      </c>
      <c r="S11" s="14">
        <v>90.1</v>
      </c>
      <c r="T11" s="15">
        <v>4.2</v>
      </c>
      <c r="U11" s="29">
        <v>90.3</v>
      </c>
      <c r="V11" s="14">
        <v>1.24</v>
      </c>
      <c r="W11" s="14">
        <v>90.1</v>
      </c>
      <c r="X11" s="14">
        <v>2.29</v>
      </c>
      <c r="Y11" s="14"/>
      <c r="Z11" s="14"/>
      <c r="AA11" s="14"/>
      <c r="AB11" s="14"/>
      <c r="AC11" s="14"/>
      <c r="AD11" s="15"/>
    </row>
    <row r="12" spans="1:30" ht="17.25" thickBot="1" x14ac:dyDescent="0.3">
      <c r="A12" s="26"/>
      <c r="B12" s="12"/>
      <c r="C12" s="13"/>
      <c r="D12" s="13"/>
      <c r="E12" s="12"/>
      <c r="F12" s="12"/>
      <c r="G12" s="12"/>
      <c r="H12" s="12"/>
      <c r="I12" s="12"/>
      <c r="J12" s="12"/>
      <c r="K12" s="26"/>
      <c r="L12" s="12"/>
      <c r="M12" s="12"/>
      <c r="N12" s="12"/>
      <c r="O12" s="12"/>
      <c r="P12" s="12"/>
      <c r="Q12" s="12"/>
      <c r="R12" s="12"/>
      <c r="S12" s="12"/>
      <c r="T12" s="27"/>
      <c r="U12" s="26"/>
      <c r="V12" s="12"/>
      <c r="W12" s="12"/>
      <c r="X12" s="12"/>
      <c r="Y12" s="12"/>
      <c r="Z12" s="12"/>
      <c r="AA12" s="12"/>
      <c r="AB12" s="12"/>
      <c r="AC12" s="12"/>
      <c r="AD12" s="27"/>
    </row>
    <row r="13" spans="1:30" ht="17.25" thickBot="1" x14ac:dyDescent="0.3">
      <c r="A13" s="70" t="s">
        <v>7</v>
      </c>
      <c r="B13" s="71"/>
      <c r="C13" s="71"/>
      <c r="D13" s="71"/>
      <c r="E13" s="71"/>
      <c r="F13" s="71"/>
      <c r="G13" s="71"/>
      <c r="H13" s="71"/>
      <c r="I13" s="71"/>
      <c r="J13" s="72"/>
      <c r="K13" s="67" t="s">
        <v>8</v>
      </c>
      <c r="L13" s="68"/>
      <c r="M13" s="68"/>
      <c r="N13" s="68"/>
      <c r="O13" s="68"/>
      <c r="P13" s="68"/>
      <c r="Q13" s="68"/>
      <c r="R13" s="68"/>
      <c r="S13" s="68"/>
      <c r="T13" s="69"/>
      <c r="U13" s="67" t="s">
        <v>14</v>
      </c>
      <c r="V13" s="68"/>
      <c r="W13" s="68"/>
      <c r="X13" s="68"/>
      <c r="Y13" s="68"/>
      <c r="Z13" s="68"/>
      <c r="AA13" s="68"/>
      <c r="AB13" s="68"/>
      <c r="AC13" s="68"/>
      <c r="AD13" s="69"/>
    </row>
    <row r="14" spans="1:30" x14ac:dyDescent="0.25">
      <c r="A14" s="23">
        <v>8.1</v>
      </c>
      <c r="B14" s="4">
        <v>0.22</v>
      </c>
      <c r="C14" s="4">
        <v>7.5</v>
      </c>
      <c r="D14" s="4">
        <v>0.54</v>
      </c>
      <c r="E14" s="4">
        <v>7.4</v>
      </c>
      <c r="F14" s="4">
        <v>0.88</v>
      </c>
      <c r="G14" s="4">
        <v>7.1</v>
      </c>
      <c r="H14" s="4">
        <v>1.86</v>
      </c>
      <c r="I14" s="4">
        <v>7</v>
      </c>
      <c r="J14" s="30">
        <v>1.48</v>
      </c>
      <c r="K14" s="23">
        <v>6.7</v>
      </c>
      <c r="L14" s="4">
        <v>0.39</v>
      </c>
      <c r="M14" s="4">
        <v>6</v>
      </c>
      <c r="N14" s="4">
        <v>0.94</v>
      </c>
      <c r="O14" s="4">
        <v>5.8</v>
      </c>
      <c r="P14" s="4">
        <v>1.56</v>
      </c>
      <c r="Q14" s="4">
        <v>5.8</v>
      </c>
      <c r="R14" s="4">
        <v>2.14</v>
      </c>
      <c r="S14" s="4">
        <v>5.6</v>
      </c>
      <c r="T14" s="30">
        <v>2.57</v>
      </c>
      <c r="U14" s="23">
        <v>6.7</v>
      </c>
      <c r="V14" s="4">
        <v>0.84</v>
      </c>
      <c r="W14" s="4">
        <v>5.6</v>
      </c>
      <c r="X14" s="4">
        <v>1.42</v>
      </c>
      <c r="Y14" s="4">
        <v>6.1</v>
      </c>
      <c r="Z14" s="4">
        <v>2.2799999999999998</v>
      </c>
      <c r="AA14" s="4">
        <v>5.4</v>
      </c>
      <c r="AB14" s="4">
        <v>2.96</v>
      </c>
      <c r="AC14" s="4">
        <v>4.2</v>
      </c>
      <c r="AD14" s="5">
        <v>3.73</v>
      </c>
    </row>
    <row r="15" spans="1:30" x14ac:dyDescent="0.25">
      <c r="A15" s="28">
        <v>13</v>
      </c>
      <c r="B15" s="6">
        <v>0.24</v>
      </c>
      <c r="C15" s="6">
        <v>12.1</v>
      </c>
      <c r="D15" s="6">
        <v>0.62</v>
      </c>
      <c r="E15" s="6">
        <v>12</v>
      </c>
      <c r="F15" s="6">
        <v>0.97</v>
      </c>
      <c r="G15" s="6">
        <v>12</v>
      </c>
      <c r="H15" s="6">
        <v>1.31</v>
      </c>
      <c r="I15" s="6">
        <v>12</v>
      </c>
      <c r="J15" s="8">
        <v>1.67</v>
      </c>
      <c r="K15" s="28">
        <v>8.6</v>
      </c>
      <c r="L15" s="6">
        <v>0.52</v>
      </c>
      <c r="M15" s="6">
        <v>7.1</v>
      </c>
      <c r="N15" s="6">
        <v>1.07</v>
      </c>
      <c r="O15" s="6">
        <v>5.9</v>
      </c>
      <c r="P15" s="6">
        <v>1.48</v>
      </c>
      <c r="Q15" s="6">
        <v>7.1</v>
      </c>
      <c r="R15" s="6">
        <v>2.42</v>
      </c>
      <c r="S15" s="6">
        <v>5.9</v>
      </c>
      <c r="T15" s="8">
        <v>2.7</v>
      </c>
      <c r="U15" s="28">
        <v>6.1</v>
      </c>
      <c r="V15" s="6">
        <v>0.81</v>
      </c>
      <c r="W15" s="6">
        <v>5.3</v>
      </c>
      <c r="X15" s="6">
        <v>1.41</v>
      </c>
      <c r="Y15" s="6">
        <v>6.1</v>
      </c>
      <c r="Z15" s="6">
        <v>2.29</v>
      </c>
      <c r="AA15" s="6">
        <v>5.9</v>
      </c>
      <c r="AB15" s="6">
        <v>3.04</v>
      </c>
      <c r="AC15" s="6">
        <v>5.4</v>
      </c>
      <c r="AD15" s="7">
        <v>4.05</v>
      </c>
    </row>
    <row r="16" spans="1:30" x14ac:dyDescent="0.25">
      <c r="A16" s="28">
        <v>17.7</v>
      </c>
      <c r="B16" s="6">
        <v>0.3</v>
      </c>
      <c r="C16" s="6">
        <v>17.100000000000001</v>
      </c>
      <c r="D16" s="6">
        <v>0.67</v>
      </c>
      <c r="E16" s="6">
        <v>17</v>
      </c>
      <c r="F16" s="6">
        <v>1.07</v>
      </c>
      <c r="G16" s="6">
        <v>16.8</v>
      </c>
      <c r="H16" s="6">
        <v>1.46</v>
      </c>
      <c r="I16" s="6">
        <v>16.5</v>
      </c>
      <c r="J16" s="8">
        <v>1.84</v>
      </c>
      <c r="K16" s="28">
        <v>11.2</v>
      </c>
      <c r="L16" s="6">
        <v>0.57999999999999996</v>
      </c>
      <c r="M16" s="6">
        <v>8.9</v>
      </c>
      <c r="N16" s="6">
        <v>1.1200000000000001</v>
      </c>
      <c r="O16" s="6">
        <v>9.5</v>
      </c>
      <c r="P16" s="6">
        <v>1.82</v>
      </c>
      <c r="Q16" s="6">
        <v>8.1999999999999993</v>
      </c>
      <c r="R16" s="6">
        <v>2.4500000000000002</v>
      </c>
      <c r="S16" s="6">
        <v>9.1</v>
      </c>
      <c r="T16" s="8">
        <v>3.22</v>
      </c>
      <c r="U16" s="28">
        <v>7.7</v>
      </c>
      <c r="V16" s="6">
        <v>0.92</v>
      </c>
      <c r="W16" s="6">
        <v>5.9</v>
      </c>
      <c r="X16" s="6">
        <v>1.59</v>
      </c>
      <c r="Y16" s="6">
        <v>6.2</v>
      </c>
      <c r="Z16" s="6">
        <v>2.2999999999999998</v>
      </c>
      <c r="AA16" s="6">
        <v>5.8</v>
      </c>
      <c r="AB16" s="6">
        <v>3.05</v>
      </c>
      <c r="AC16" s="6">
        <v>4.9000000000000004</v>
      </c>
      <c r="AD16" s="7">
        <v>3.92</v>
      </c>
    </row>
    <row r="17" spans="1:30" x14ac:dyDescent="0.25">
      <c r="A17" s="28">
        <v>32.6</v>
      </c>
      <c r="B17" s="6">
        <v>0.41</v>
      </c>
      <c r="C17" s="6">
        <v>31.9</v>
      </c>
      <c r="D17" s="6">
        <v>0.88</v>
      </c>
      <c r="E17" s="6">
        <v>31.5</v>
      </c>
      <c r="F17" s="6">
        <v>1.35</v>
      </c>
      <c r="G17" s="6">
        <v>21.8</v>
      </c>
      <c r="H17" s="6">
        <v>1.82</v>
      </c>
      <c r="I17" s="6">
        <v>31.2</v>
      </c>
      <c r="J17" s="8">
        <v>2.2999999999999998</v>
      </c>
      <c r="K17" s="28">
        <v>21.2</v>
      </c>
      <c r="L17" s="6">
        <v>0.75</v>
      </c>
      <c r="M17" s="6">
        <v>16.899999999999999</v>
      </c>
      <c r="N17" s="6">
        <v>1.48</v>
      </c>
      <c r="O17" s="6">
        <v>18</v>
      </c>
      <c r="P17" s="6">
        <v>2.27</v>
      </c>
      <c r="Q17" s="6">
        <v>13.5</v>
      </c>
      <c r="R17" s="6">
        <v>2.92</v>
      </c>
      <c r="S17" s="6">
        <v>17.100000000000001</v>
      </c>
      <c r="T17" s="8">
        <v>3.82</v>
      </c>
      <c r="U17" s="28">
        <v>15</v>
      </c>
      <c r="V17" s="6">
        <v>1.07</v>
      </c>
      <c r="W17" s="6">
        <v>15.6</v>
      </c>
      <c r="X17" s="6">
        <v>2.14</v>
      </c>
      <c r="Y17" s="6">
        <v>15.9</v>
      </c>
      <c r="Z17" s="6">
        <v>3.24</v>
      </c>
      <c r="AA17" s="6">
        <v>21.2</v>
      </c>
      <c r="AB17" s="6">
        <v>4.3099999999999996</v>
      </c>
      <c r="AC17" s="6">
        <v>13.9</v>
      </c>
      <c r="AD17" s="7">
        <v>5.41</v>
      </c>
    </row>
    <row r="18" spans="1:30" x14ac:dyDescent="0.25">
      <c r="A18" s="28">
        <v>47.5</v>
      </c>
      <c r="B18" s="6">
        <v>0.49</v>
      </c>
      <c r="C18" s="6">
        <v>47.1</v>
      </c>
      <c r="D18" s="6">
        <v>1.05</v>
      </c>
      <c r="E18" s="6">
        <v>46.4</v>
      </c>
      <c r="F18" s="6">
        <v>1.63</v>
      </c>
      <c r="G18" s="6">
        <v>46.8</v>
      </c>
      <c r="H18" s="6">
        <v>2.17</v>
      </c>
      <c r="I18" s="6">
        <v>46.1</v>
      </c>
      <c r="J18" s="8">
        <v>2.77</v>
      </c>
      <c r="K18" s="28">
        <v>33.5</v>
      </c>
      <c r="L18" s="6">
        <v>0.9</v>
      </c>
      <c r="M18" s="6">
        <v>28.7</v>
      </c>
      <c r="N18" s="6">
        <v>1.8</v>
      </c>
      <c r="O18" s="6">
        <v>31.3</v>
      </c>
      <c r="P18" s="6">
        <v>2.77</v>
      </c>
      <c r="Q18" s="6">
        <v>27.1</v>
      </c>
      <c r="R18" s="6">
        <v>3.63</v>
      </c>
      <c r="S18" s="6">
        <v>26.6</v>
      </c>
      <c r="T18" s="8">
        <v>4.4800000000000004</v>
      </c>
      <c r="U18" s="28">
        <v>25.4</v>
      </c>
      <c r="V18" s="6">
        <v>1.31</v>
      </c>
      <c r="W18" s="6">
        <v>27.3</v>
      </c>
      <c r="X18" s="6">
        <v>2.59</v>
      </c>
      <c r="Y18" s="6">
        <v>28.6</v>
      </c>
      <c r="Z18" s="6">
        <v>3.93</v>
      </c>
      <c r="AA18" s="6">
        <v>26.8</v>
      </c>
      <c r="AB18" s="6">
        <v>5.25</v>
      </c>
      <c r="AC18" s="6">
        <v>25.7</v>
      </c>
      <c r="AD18" s="7">
        <v>6.48</v>
      </c>
    </row>
    <row r="19" spans="1:30" x14ac:dyDescent="0.25">
      <c r="A19" s="28">
        <v>62.5</v>
      </c>
      <c r="B19" s="6">
        <v>0.54</v>
      </c>
      <c r="C19" s="6">
        <v>62.2</v>
      </c>
      <c r="D19" s="6">
        <v>1.18</v>
      </c>
      <c r="E19" s="6">
        <v>62</v>
      </c>
      <c r="F19" s="6">
        <v>1.8</v>
      </c>
      <c r="G19" s="6">
        <v>61.8</v>
      </c>
      <c r="H19" s="6">
        <v>2.42</v>
      </c>
      <c r="I19" s="6">
        <v>61.5</v>
      </c>
      <c r="J19" s="8">
        <v>3.02</v>
      </c>
      <c r="K19" s="28">
        <v>43.1</v>
      </c>
      <c r="L19" s="6">
        <v>0.99</v>
      </c>
      <c r="M19" s="6">
        <v>41.1</v>
      </c>
      <c r="N19" s="6">
        <v>2.02</v>
      </c>
      <c r="O19" s="6">
        <v>39.5</v>
      </c>
      <c r="P19" s="6">
        <v>3</v>
      </c>
      <c r="Q19" s="6">
        <v>41.7</v>
      </c>
      <c r="R19" s="6">
        <v>4.12</v>
      </c>
      <c r="S19" s="6">
        <v>38.200000000000003</v>
      </c>
      <c r="T19" s="8">
        <v>5.0199999999999996</v>
      </c>
      <c r="U19" s="28">
        <v>60</v>
      </c>
      <c r="V19" s="6">
        <v>1.54</v>
      </c>
      <c r="W19" s="6">
        <v>43.2</v>
      </c>
      <c r="X19" s="6">
        <v>3.04</v>
      </c>
      <c r="Y19" s="6">
        <v>40.1</v>
      </c>
      <c r="Z19" s="6">
        <v>4.5199999999999996</v>
      </c>
      <c r="AA19" s="6">
        <v>39.700000000000003</v>
      </c>
      <c r="AB19" s="6">
        <v>5.94</v>
      </c>
      <c r="AC19" s="6">
        <v>37.9</v>
      </c>
      <c r="AD19" s="7">
        <v>7.44</v>
      </c>
    </row>
    <row r="20" spans="1:30" x14ac:dyDescent="0.25">
      <c r="A20" s="28">
        <v>81.5</v>
      </c>
      <c r="B20" s="6">
        <v>0.69</v>
      </c>
      <c r="C20" s="6">
        <v>77.5</v>
      </c>
      <c r="D20" s="6">
        <v>1.24</v>
      </c>
      <c r="E20" s="6">
        <v>77.900000000000006</v>
      </c>
      <c r="F20" s="6">
        <v>1.87</v>
      </c>
      <c r="G20" s="6">
        <v>77.900000000000006</v>
      </c>
      <c r="H20" s="6">
        <v>2.5099999999999998</v>
      </c>
      <c r="I20" s="6">
        <v>77</v>
      </c>
      <c r="J20" s="8">
        <v>3.17</v>
      </c>
      <c r="K20" s="28">
        <v>48.4</v>
      </c>
      <c r="L20" s="6">
        <v>1.05</v>
      </c>
      <c r="M20" s="6">
        <v>48.1</v>
      </c>
      <c r="N20" s="6">
        <v>2.14</v>
      </c>
      <c r="O20" s="6">
        <v>46.1</v>
      </c>
      <c r="P20" s="6">
        <v>3.28</v>
      </c>
      <c r="Q20" s="6">
        <v>56.1</v>
      </c>
      <c r="R20" s="6">
        <v>4.37</v>
      </c>
      <c r="S20" s="6">
        <v>57.9</v>
      </c>
      <c r="T20" s="8">
        <v>5.51</v>
      </c>
      <c r="U20" s="28">
        <v>60.3</v>
      </c>
      <c r="V20" s="6">
        <v>1.59</v>
      </c>
      <c r="W20" s="6">
        <v>50.1</v>
      </c>
      <c r="X20" s="6">
        <v>3.17</v>
      </c>
      <c r="Y20" s="6">
        <v>48.2</v>
      </c>
      <c r="Z20" s="6">
        <v>4.74</v>
      </c>
      <c r="AA20" s="6">
        <v>46.8</v>
      </c>
      <c r="AB20" s="6">
        <v>6.31</v>
      </c>
      <c r="AC20" s="6">
        <v>47.2</v>
      </c>
      <c r="AD20" s="7">
        <v>8.02</v>
      </c>
    </row>
    <row r="21" spans="1:30" ht="17.25" thickBot="1" x14ac:dyDescent="0.3">
      <c r="A21" s="29">
        <v>93.2</v>
      </c>
      <c r="B21" s="14">
        <v>1.01</v>
      </c>
      <c r="C21" s="14">
        <v>92.2</v>
      </c>
      <c r="D21" s="14">
        <v>1.97</v>
      </c>
      <c r="E21" s="14">
        <v>92.1</v>
      </c>
      <c r="F21" s="14">
        <v>2.96</v>
      </c>
      <c r="G21" s="14">
        <v>92.1</v>
      </c>
      <c r="H21" s="14">
        <v>2.8</v>
      </c>
      <c r="I21" s="14">
        <v>91.3</v>
      </c>
      <c r="J21" s="9">
        <v>4.67</v>
      </c>
      <c r="K21" s="29">
        <v>55.8</v>
      </c>
      <c r="L21" s="14">
        <v>1.07</v>
      </c>
      <c r="M21" s="14">
        <v>55.5</v>
      </c>
      <c r="N21" s="14">
        <v>2.21</v>
      </c>
      <c r="O21" s="14">
        <v>50</v>
      </c>
      <c r="P21" s="14">
        <v>3.35</v>
      </c>
      <c r="Q21" s="14">
        <v>64.5</v>
      </c>
      <c r="R21" s="14">
        <v>4.7</v>
      </c>
      <c r="S21" s="14">
        <v>61</v>
      </c>
      <c r="T21" s="9">
        <v>5.98</v>
      </c>
      <c r="U21" s="29">
        <v>60.3</v>
      </c>
      <c r="V21" s="14">
        <v>1.59</v>
      </c>
      <c r="W21" s="14">
        <v>58.1</v>
      </c>
      <c r="X21" s="14">
        <v>3.34</v>
      </c>
      <c r="Y21" s="14">
        <v>56.1</v>
      </c>
      <c r="Z21" s="14">
        <v>5</v>
      </c>
      <c r="AA21" s="14">
        <v>48.3</v>
      </c>
      <c r="AB21" s="14">
        <v>6.45</v>
      </c>
      <c r="AC21" s="14">
        <v>50.4</v>
      </c>
      <c r="AD21" s="15">
        <v>8.43</v>
      </c>
    </row>
    <row r="22" spans="1:30" ht="17.25" thickBot="1" x14ac:dyDescent="0.3">
      <c r="A22" s="26"/>
      <c r="B22" s="12"/>
      <c r="C22" s="13"/>
      <c r="D22" s="13"/>
      <c r="E22" s="12"/>
      <c r="F22" s="12"/>
      <c r="G22" s="12"/>
      <c r="H22" s="12"/>
      <c r="I22" s="12"/>
      <c r="J22" s="12"/>
      <c r="K22" s="26"/>
      <c r="L22" s="12"/>
      <c r="M22" s="12"/>
      <c r="N22" s="12"/>
      <c r="O22" s="12"/>
      <c r="P22" s="12"/>
      <c r="Q22" s="12"/>
      <c r="R22" s="12"/>
      <c r="S22" s="12"/>
      <c r="T22" s="27"/>
      <c r="U22" s="26"/>
      <c r="V22" s="12"/>
      <c r="W22" s="12"/>
      <c r="X22" s="12"/>
      <c r="Y22" s="12"/>
      <c r="Z22" s="12"/>
      <c r="AA22" s="12"/>
      <c r="AB22" s="12"/>
      <c r="AC22" s="12"/>
      <c r="AD22" s="27"/>
    </row>
    <row r="23" spans="1:30" ht="17.25" thickBot="1" x14ac:dyDescent="0.3">
      <c r="A23" s="67" t="s">
        <v>10</v>
      </c>
      <c r="B23" s="68"/>
      <c r="C23" s="68"/>
      <c r="D23" s="68"/>
      <c r="E23" s="68"/>
      <c r="F23" s="68"/>
      <c r="G23" s="68"/>
      <c r="H23" s="68"/>
      <c r="I23" s="68"/>
      <c r="J23" s="69"/>
      <c r="K23" s="67" t="s">
        <v>11</v>
      </c>
      <c r="L23" s="68"/>
      <c r="M23" s="68"/>
      <c r="N23" s="68"/>
      <c r="O23" s="68"/>
      <c r="P23" s="68"/>
      <c r="Q23" s="68"/>
      <c r="R23" s="68"/>
      <c r="S23" s="68"/>
      <c r="T23" s="69"/>
      <c r="U23" s="67" t="s">
        <v>15</v>
      </c>
      <c r="V23" s="68"/>
      <c r="W23" s="68"/>
      <c r="X23" s="68"/>
      <c r="Y23" s="68"/>
      <c r="Z23" s="68"/>
      <c r="AA23" s="68"/>
      <c r="AB23" s="68"/>
      <c r="AC23" s="68"/>
      <c r="AD23" s="69"/>
    </row>
    <row r="24" spans="1:30" x14ac:dyDescent="0.25">
      <c r="A24" s="23">
        <v>10</v>
      </c>
      <c r="B24" s="4">
        <v>0.18</v>
      </c>
      <c r="C24" s="4">
        <v>9.5</v>
      </c>
      <c r="D24" s="4">
        <v>0.51</v>
      </c>
      <c r="E24" s="4">
        <v>9.4</v>
      </c>
      <c r="F24" s="4">
        <v>0.79</v>
      </c>
      <c r="G24" s="4">
        <v>9.1999999999999993</v>
      </c>
      <c r="H24" s="4">
        <v>1.1100000000000001</v>
      </c>
      <c r="I24" s="4">
        <v>9.6</v>
      </c>
      <c r="J24" s="30">
        <v>1.24</v>
      </c>
      <c r="K24" s="23">
        <v>7.8</v>
      </c>
      <c r="L24" s="4">
        <v>0.41</v>
      </c>
      <c r="M24" s="4">
        <v>7.6</v>
      </c>
      <c r="N24" s="4">
        <v>0.9</v>
      </c>
      <c r="O24" s="4">
        <v>6.9</v>
      </c>
      <c r="P24" s="4">
        <v>1.46</v>
      </c>
      <c r="Q24" s="4">
        <v>7.1</v>
      </c>
      <c r="R24" s="4">
        <v>1.93</v>
      </c>
      <c r="S24" s="4">
        <v>7.6</v>
      </c>
      <c r="T24" s="30">
        <v>2.62</v>
      </c>
      <c r="U24" s="23">
        <v>5.9</v>
      </c>
      <c r="V24" s="4">
        <v>0.71</v>
      </c>
      <c r="W24" s="4">
        <v>5.9</v>
      </c>
      <c r="X24" s="4">
        <v>1.52</v>
      </c>
      <c r="Y24" s="4">
        <v>6.01</v>
      </c>
      <c r="Z24" s="4">
        <v>2.4</v>
      </c>
      <c r="AA24" s="4">
        <v>5.4</v>
      </c>
      <c r="AB24" s="4">
        <v>3.07</v>
      </c>
      <c r="AC24" s="4">
        <v>5.0599999999999996</v>
      </c>
      <c r="AD24" s="5">
        <v>3.95</v>
      </c>
    </row>
    <row r="25" spans="1:30" x14ac:dyDescent="0.25">
      <c r="A25" s="28">
        <v>14.5</v>
      </c>
      <c r="B25" s="6">
        <v>0.24</v>
      </c>
      <c r="C25" s="6">
        <v>14.1</v>
      </c>
      <c r="D25" s="6">
        <v>0.56000000000000005</v>
      </c>
      <c r="E25" s="6">
        <v>13.9</v>
      </c>
      <c r="F25" s="6">
        <v>0.86</v>
      </c>
      <c r="G25" s="6">
        <v>13.6</v>
      </c>
      <c r="H25" s="6">
        <v>1.22</v>
      </c>
      <c r="I25" s="6">
        <v>13.9</v>
      </c>
      <c r="J25" s="8">
        <v>1.61</v>
      </c>
      <c r="K25" s="28">
        <v>12.1</v>
      </c>
      <c r="L25" s="6">
        <v>0.47</v>
      </c>
      <c r="M25" s="6">
        <v>11.8</v>
      </c>
      <c r="N25" s="6">
        <v>1.1200000000000001</v>
      </c>
      <c r="O25" s="6">
        <v>11.5</v>
      </c>
      <c r="P25" s="6">
        <v>1.71</v>
      </c>
      <c r="Q25" s="6">
        <v>12</v>
      </c>
      <c r="R25" s="6">
        <v>2.4</v>
      </c>
      <c r="S25" s="6">
        <v>11.8</v>
      </c>
      <c r="T25" s="8">
        <v>2.98</v>
      </c>
      <c r="U25" s="28">
        <v>5.8</v>
      </c>
      <c r="V25" s="6">
        <v>0.71</v>
      </c>
      <c r="W25" s="6">
        <v>5.8</v>
      </c>
      <c r="X25" s="6">
        <v>1.52</v>
      </c>
      <c r="Y25" s="6">
        <v>5.0999999999999996</v>
      </c>
      <c r="Z25" s="6">
        <v>2.34</v>
      </c>
      <c r="AA25" s="6">
        <v>5.9</v>
      </c>
      <c r="AB25" s="6">
        <v>3.15</v>
      </c>
      <c r="AC25" s="6">
        <v>6.01</v>
      </c>
      <c r="AD25" s="7">
        <v>4.01</v>
      </c>
    </row>
    <row r="26" spans="1:30" x14ac:dyDescent="0.25">
      <c r="A26" s="28">
        <v>19.3</v>
      </c>
      <c r="B26" s="6">
        <v>0.28000000000000003</v>
      </c>
      <c r="C26" s="6">
        <v>18.899999999999999</v>
      </c>
      <c r="D26" s="6">
        <v>0.62</v>
      </c>
      <c r="E26" s="6">
        <v>18.7</v>
      </c>
      <c r="F26" s="6">
        <v>0.97</v>
      </c>
      <c r="G26" s="6">
        <v>18</v>
      </c>
      <c r="H26" s="6">
        <v>1.41</v>
      </c>
      <c r="I26" s="6">
        <v>18.7</v>
      </c>
      <c r="J26" s="8">
        <v>1.72</v>
      </c>
      <c r="K26" s="28">
        <v>17.100000000000001</v>
      </c>
      <c r="L26" s="6">
        <v>0.56000000000000005</v>
      </c>
      <c r="M26" s="6">
        <v>16.399999999999999</v>
      </c>
      <c r="N26" s="6">
        <v>1.29</v>
      </c>
      <c r="O26" s="6">
        <v>16.2</v>
      </c>
      <c r="P26" s="6">
        <v>1.91</v>
      </c>
      <c r="Q26" s="6">
        <v>16</v>
      </c>
      <c r="R26" s="6">
        <v>2.62</v>
      </c>
      <c r="S26" s="6">
        <v>16.100000000000001</v>
      </c>
      <c r="T26" s="8">
        <v>3.19</v>
      </c>
      <c r="U26" s="28">
        <v>9.4</v>
      </c>
      <c r="V26" s="6">
        <v>0.88</v>
      </c>
      <c r="W26" s="6">
        <v>6.1</v>
      </c>
      <c r="X26" s="6">
        <v>1.54</v>
      </c>
      <c r="Y26" s="6">
        <v>5.6</v>
      </c>
      <c r="Z26" s="6">
        <v>2.36</v>
      </c>
      <c r="AA26" s="6">
        <v>5.9</v>
      </c>
      <c r="AB26" s="6">
        <v>3.15</v>
      </c>
      <c r="AC26" s="6">
        <v>8.1</v>
      </c>
      <c r="AD26" s="7">
        <v>4.4800000000000004</v>
      </c>
    </row>
    <row r="27" spans="1:30" x14ac:dyDescent="0.25">
      <c r="A27" s="28">
        <v>36.299999999999997</v>
      </c>
      <c r="B27" s="6">
        <v>0.4</v>
      </c>
      <c r="C27" s="6">
        <v>33.1</v>
      </c>
      <c r="D27" s="6">
        <v>0.81</v>
      </c>
      <c r="E27" s="6">
        <v>33.5</v>
      </c>
      <c r="F27" s="6">
        <v>1.24</v>
      </c>
      <c r="G27" s="6">
        <v>32.5</v>
      </c>
      <c r="H27" s="6">
        <v>1.71</v>
      </c>
      <c r="I27" s="6">
        <v>33.1</v>
      </c>
      <c r="J27" s="8">
        <v>2.15</v>
      </c>
      <c r="K27" s="28">
        <v>31.1</v>
      </c>
      <c r="L27" s="6">
        <v>0.77</v>
      </c>
      <c r="M27" s="6">
        <v>30.6</v>
      </c>
      <c r="N27" s="6">
        <v>1.59</v>
      </c>
      <c r="O27" s="6">
        <v>30.1</v>
      </c>
      <c r="P27" s="6">
        <v>2.4</v>
      </c>
      <c r="Q27" s="6">
        <v>29.7</v>
      </c>
      <c r="R27" s="6">
        <v>3.15</v>
      </c>
      <c r="S27" s="6">
        <v>29.8</v>
      </c>
      <c r="T27" s="8">
        <v>3.86</v>
      </c>
      <c r="U27" s="28">
        <v>14.8</v>
      </c>
      <c r="V27" s="6">
        <v>1.0900000000000001</v>
      </c>
      <c r="W27" s="6">
        <v>13.8</v>
      </c>
      <c r="X27" s="6">
        <v>2.15</v>
      </c>
      <c r="Y27" s="6">
        <v>13.2</v>
      </c>
      <c r="Z27" s="6">
        <v>3.26</v>
      </c>
      <c r="AA27" s="6">
        <v>10.9</v>
      </c>
      <c r="AB27" s="6">
        <v>4.25</v>
      </c>
      <c r="AC27" s="6">
        <v>15.5</v>
      </c>
      <c r="AD27" s="7">
        <v>5.71</v>
      </c>
    </row>
    <row r="28" spans="1:30" x14ac:dyDescent="0.25">
      <c r="A28" s="28">
        <v>51.2</v>
      </c>
      <c r="B28" s="6">
        <v>0.49</v>
      </c>
      <c r="C28" s="6">
        <v>54.9</v>
      </c>
      <c r="D28" s="6">
        <v>0.97</v>
      </c>
      <c r="E28" s="6">
        <v>47.2</v>
      </c>
      <c r="F28" s="6">
        <v>1.42</v>
      </c>
      <c r="G28" s="6">
        <v>48</v>
      </c>
      <c r="H28" s="6">
        <v>1.97</v>
      </c>
      <c r="I28" s="6">
        <v>47.9</v>
      </c>
      <c r="J28" s="8">
        <v>2.4700000000000002</v>
      </c>
      <c r="K28" s="28">
        <v>47</v>
      </c>
      <c r="L28" s="6">
        <v>0.89</v>
      </c>
      <c r="M28" s="6">
        <v>46.2</v>
      </c>
      <c r="N28" s="6">
        <v>1.84</v>
      </c>
      <c r="O28" s="6">
        <v>45.9</v>
      </c>
      <c r="P28" s="6">
        <v>2.8</v>
      </c>
      <c r="Q28" s="6">
        <v>44</v>
      </c>
      <c r="R28" s="6">
        <v>3.62</v>
      </c>
      <c r="S28" s="6">
        <v>44.5</v>
      </c>
      <c r="T28" s="8">
        <v>4.53</v>
      </c>
      <c r="U28" s="28">
        <v>24.8</v>
      </c>
      <c r="V28" s="6">
        <v>1.31</v>
      </c>
      <c r="W28" s="6">
        <v>24.1</v>
      </c>
      <c r="X28" s="6">
        <v>2.6</v>
      </c>
      <c r="Y28" s="6">
        <v>25.4</v>
      </c>
      <c r="Z28" s="6">
        <v>4.03</v>
      </c>
      <c r="AA28" s="6">
        <v>25.9</v>
      </c>
      <c r="AB28" s="6">
        <v>5.43</v>
      </c>
      <c r="AC28" s="6">
        <v>24.9</v>
      </c>
      <c r="AD28" s="7">
        <v>6.52</v>
      </c>
    </row>
    <row r="29" spans="1:30" x14ac:dyDescent="0.25">
      <c r="A29" s="28">
        <v>64.900000000000006</v>
      </c>
      <c r="B29" s="6">
        <v>0.56000000000000005</v>
      </c>
      <c r="C29" s="6">
        <v>64.599999999999994</v>
      </c>
      <c r="D29" s="6">
        <v>1.1200000000000001</v>
      </c>
      <c r="E29" s="6">
        <v>53.6</v>
      </c>
      <c r="F29" s="6">
        <v>1.59</v>
      </c>
      <c r="G29" s="6">
        <v>62.1</v>
      </c>
      <c r="H29" s="6">
        <v>2.2599999999999998</v>
      </c>
      <c r="I29" s="6">
        <v>64.2</v>
      </c>
      <c r="J29" s="8">
        <v>2.87</v>
      </c>
      <c r="K29" s="28">
        <v>62.2</v>
      </c>
      <c r="L29" s="6">
        <v>1.01</v>
      </c>
      <c r="M29" s="6">
        <v>59.8</v>
      </c>
      <c r="N29" s="6">
        <v>2</v>
      </c>
      <c r="O29" s="6">
        <v>61.1</v>
      </c>
      <c r="P29" s="6">
        <v>3.02</v>
      </c>
      <c r="Q29" s="6">
        <v>60.5</v>
      </c>
      <c r="R29" s="6">
        <v>3.82</v>
      </c>
      <c r="S29" s="6">
        <v>59.5</v>
      </c>
      <c r="T29" s="8">
        <v>5.0199999999999996</v>
      </c>
      <c r="U29" s="28">
        <v>35.9</v>
      </c>
      <c r="V29" s="6">
        <v>1.5</v>
      </c>
      <c r="W29" s="6">
        <v>31.8</v>
      </c>
      <c r="X29" s="6">
        <v>2.98</v>
      </c>
      <c r="Y29" s="6">
        <v>35.4</v>
      </c>
      <c r="Z29" s="6">
        <v>4.46</v>
      </c>
      <c r="AA29" s="6">
        <v>33.299999999999997</v>
      </c>
      <c r="AB29" s="6">
        <v>5.9</v>
      </c>
      <c r="AC29" s="6">
        <v>33.299999999999997</v>
      </c>
      <c r="AD29" s="7">
        <v>7.38</v>
      </c>
    </row>
    <row r="30" spans="1:30" x14ac:dyDescent="0.25">
      <c r="A30" s="28">
        <v>83.6</v>
      </c>
      <c r="B30" s="6">
        <v>0.61</v>
      </c>
      <c r="C30" s="6">
        <v>78.900000000000006</v>
      </c>
      <c r="D30" s="6">
        <v>1.2</v>
      </c>
      <c r="E30" s="6">
        <v>78.2</v>
      </c>
      <c r="F30" s="6">
        <v>1.8</v>
      </c>
      <c r="G30" s="6">
        <v>79.2</v>
      </c>
      <c r="H30" s="6">
        <v>2.5099999999999998</v>
      </c>
      <c r="I30" s="6">
        <v>78</v>
      </c>
      <c r="J30" s="8">
        <v>3.03</v>
      </c>
      <c r="K30" s="28">
        <v>76.8</v>
      </c>
      <c r="L30" s="6">
        <v>1.03</v>
      </c>
      <c r="M30" s="6">
        <v>76</v>
      </c>
      <c r="N30" s="6">
        <v>2.1</v>
      </c>
      <c r="O30" s="6">
        <v>76</v>
      </c>
      <c r="P30" s="6">
        <v>3.2</v>
      </c>
      <c r="Q30" s="6">
        <v>75.3</v>
      </c>
      <c r="R30" s="6">
        <v>4.2</v>
      </c>
      <c r="S30" s="6">
        <v>75.8</v>
      </c>
      <c r="T30" s="8">
        <v>5.34</v>
      </c>
      <c r="U30" s="28">
        <v>43.9</v>
      </c>
      <c r="V30" s="6">
        <v>1.57</v>
      </c>
      <c r="W30" s="6">
        <v>41.1</v>
      </c>
      <c r="X30" s="6">
        <v>3.13</v>
      </c>
      <c r="Y30" s="6">
        <v>42.7</v>
      </c>
      <c r="Z30" s="6">
        <v>4.74</v>
      </c>
      <c r="AA30" s="6">
        <v>41.8</v>
      </c>
      <c r="AB30" s="6">
        <v>6.26</v>
      </c>
      <c r="AC30" s="6">
        <v>42.9</v>
      </c>
      <c r="AD30" s="7">
        <v>8</v>
      </c>
    </row>
    <row r="31" spans="1:30" ht="17.25" thickBot="1" x14ac:dyDescent="0.3">
      <c r="A31" s="29">
        <v>93.8</v>
      </c>
      <c r="B31" s="14">
        <v>0.9</v>
      </c>
      <c r="C31" s="14">
        <v>92.8</v>
      </c>
      <c r="D31" s="14">
        <v>2.0299999999999998</v>
      </c>
      <c r="E31" s="14">
        <v>92.8</v>
      </c>
      <c r="F31" s="14">
        <v>3</v>
      </c>
      <c r="G31" s="14">
        <v>93</v>
      </c>
      <c r="H31" s="14">
        <v>4.0199999999999996</v>
      </c>
      <c r="I31" s="14">
        <v>92.2</v>
      </c>
      <c r="J31" s="9">
        <v>4.9800000000000004</v>
      </c>
      <c r="K31" s="29">
        <v>90.5</v>
      </c>
      <c r="L31" s="14">
        <v>1.37</v>
      </c>
      <c r="M31" s="14">
        <v>91.5</v>
      </c>
      <c r="N31" s="14">
        <v>2.9</v>
      </c>
      <c r="O31" s="14">
        <v>90.1</v>
      </c>
      <c r="P31" s="14">
        <v>4.2</v>
      </c>
      <c r="Q31" s="14">
        <v>90.2</v>
      </c>
      <c r="R31" s="14">
        <v>5.6</v>
      </c>
      <c r="S31" s="14">
        <v>90</v>
      </c>
      <c r="T31" s="9">
        <v>7.1</v>
      </c>
      <c r="U31" s="29">
        <v>50</v>
      </c>
      <c r="V31" s="14">
        <v>1.61</v>
      </c>
      <c r="W31" s="14">
        <v>44.6</v>
      </c>
      <c r="X31" s="14">
        <v>3.26</v>
      </c>
      <c r="Y31" s="14">
        <v>51.6</v>
      </c>
      <c r="Z31" s="14">
        <v>5.03</v>
      </c>
      <c r="AA31" s="14">
        <v>52.7</v>
      </c>
      <c r="AB31" s="14">
        <v>6.75</v>
      </c>
      <c r="AC31" s="14">
        <v>51.7</v>
      </c>
      <c r="AD31" s="15">
        <v>8.23</v>
      </c>
    </row>
    <row r="32" spans="1:30" x14ac:dyDescent="0.25">
      <c r="C32" s="11"/>
      <c r="D32" s="11"/>
    </row>
    <row r="33" spans="1:4" x14ac:dyDescent="0.25">
      <c r="C33" s="11"/>
      <c r="D33" s="11"/>
    </row>
    <row r="34" spans="1:4" x14ac:dyDescent="0.25">
      <c r="A34" s="11">
        <f>10+21+40*8</f>
        <v>351</v>
      </c>
      <c r="B34" s="11">
        <v>36</v>
      </c>
      <c r="C34" s="11">
        <v>50</v>
      </c>
      <c r="D34" s="11"/>
    </row>
    <row r="35" spans="1:4" x14ac:dyDescent="0.25">
      <c r="A35" s="11">
        <f>A34+B34+C34</f>
        <v>437</v>
      </c>
      <c r="C35" s="11"/>
      <c r="D35" s="11"/>
    </row>
    <row r="36" spans="1:4" x14ac:dyDescent="0.25">
      <c r="C36" s="11"/>
      <c r="D36" s="11"/>
    </row>
    <row r="37" spans="1:4" x14ac:dyDescent="0.25">
      <c r="C37" s="11"/>
      <c r="D37" s="11"/>
    </row>
    <row r="38" spans="1:4" x14ac:dyDescent="0.25">
      <c r="C38" s="11"/>
      <c r="D38" s="11"/>
    </row>
    <row r="39" spans="1:4" x14ac:dyDescent="0.25">
      <c r="C39" s="11"/>
      <c r="D39" s="11"/>
    </row>
    <row r="40" spans="1:4" x14ac:dyDescent="0.25">
      <c r="C40" s="11"/>
      <c r="D40" s="11"/>
    </row>
    <row r="41" spans="1:4" x14ac:dyDescent="0.25">
      <c r="C41" s="11"/>
      <c r="D41" s="11"/>
    </row>
    <row r="42" spans="1:4" x14ac:dyDescent="0.25">
      <c r="C42" s="11"/>
      <c r="D42" s="11"/>
    </row>
    <row r="43" spans="1:4" x14ac:dyDescent="0.25">
      <c r="C43" s="11"/>
      <c r="D43" s="11"/>
    </row>
    <row r="44" spans="1:4" x14ac:dyDescent="0.25">
      <c r="C44" s="11"/>
      <c r="D44" s="11"/>
    </row>
    <row r="45" spans="1:4" x14ac:dyDescent="0.25">
      <c r="C45" s="11"/>
      <c r="D45" s="11"/>
    </row>
    <row r="46" spans="1:4" x14ac:dyDescent="0.25">
      <c r="C46" s="11"/>
      <c r="D46" s="11"/>
    </row>
    <row r="47" spans="1:4" x14ac:dyDescent="0.25">
      <c r="C47" s="11"/>
      <c r="D47" s="11"/>
    </row>
    <row r="48" spans="1:4" x14ac:dyDescent="0.25">
      <c r="C48" s="11"/>
      <c r="D48" s="11"/>
    </row>
    <row r="49" spans="3:4" x14ac:dyDescent="0.25">
      <c r="C49" s="11"/>
      <c r="D49" s="11"/>
    </row>
    <row r="50" spans="3:4" x14ac:dyDescent="0.25">
      <c r="C50" s="11"/>
      <c r="D50" s="11"/>
    </row>
    <row r="51" spans="3:4" x14ac:dyDescent="0.25">
      <c r="C51" s="11"/>
      <c r="D51" s="11"/>
    </row>
    <row r="52" spans="3:4" x14ac:dyDescent="0.25">
      <c r="C52" s="11"/>
      <c r="D52" s="11"/>
    </row>
    <row r="53" spans="3:4" x14ac:dyDescent="0.25">
      <c r="C53" s="11"/>
      <c r="D53" s="11"/>
    </row>
    <row r="54" spans="3:4" x14ac:dyDescent="0.25">
      <c r="C54" s="11"/>
      <c r="D54" s="11"/>
    </row>
    <row r="55" spans="3:4" x14ac:dyDescent="0.25">
      <c r="C55" s="11"/>
      <c r="D55" s="11"/>
    </row>
    <row r="56" spans="3:4" x14ac:dyDescent="0.25">
      <c r="C56" s="11"/>
      <c r="D56" s="11"/>
    </row>
    <row r="57" spans="3:4" x14ac:dyDescent="0.25">
      <c r="C57" s="11"/>
      <c r="D57" s="11"/>
    </row>
    <row r="58" spans="3:4" x14ac:dyDescent="0.25">
      <c r="C58" s="11"/>
      <c r="D58" s="11"/>
    </row>
    <row r="59" spans="3:4" x14ac:dyDescent="0.25">
      <c r="C59" s="11"/>
      <c r="D59" s="11"/>
    </row>
    <row r="60" spans="3:4" x14ac:dyDescent="0.25">
      <c r="C60" s="11"/>
      <c r="D60" s="11"/>
    </row>
    <row r="61" spans="3:4" x14ac:dyDescent="0.25">
      <c r="C61" s="11"/>
      <c r="D61" s="11"/>
    </row>
    <row r="62" spans="3:4" x14ac:dyDescent="0.25">
      <c r="C62" s="11"/>
      <c r="D62" s="11"/>
    </row>
    <row r="63" spans="3:4" x14ac:dyDescent="0.25">
      <c r="C63" s="11"/>
      <c r="D63" s="11"/>
    </row>
    <row r="64" spans="3:4" x14ac:dyDescent="0.25">
      <c r="C64" s="11"/>
      <c r="D64" s="11"/>
    </row>
    <row r="65" spans="3:4" x14ac:dyDescent="0.25">
      <c r="C65" s="11"/>
      <c r="D65" s="11"/>
    </row>
    <row r="66" spans="3:4" x14ac:dyDescent="0.25">
      <c r="C66" s="11"/>
      <c r="D66" s="11"/>
    </row>
    <row r="67" spans="3:4" x14ac:dyDescent="0.25">
      <c r="C67" s="11"/>
      <c r="D67" s="11"/>
    </row>
    <row r="68" spans="3:4" x14ac:dyDescent="0.25">
      <c r="C68" s="11"/>
      <c r="D68" s="11"/>
    </row>
    <row r="69" spans="3:4" x14ac:dyDescent="0.25">
      <c r="C69" s="11"/>
      <c r="D69" s="11"/>
    </row>
    <row r="70" spans="3:4" x14ac:dyDescent="0.25">
      <c r="C70" s="11"/>
      <c r="D70" s="11"/>
    </row>
    <row r="71" spans="3:4" x14ac:dyDescent="0.25">
      <c r="C71" s="11"/>
      <c r="D71" s="11"/>
    </row>
    <row r="72" spans="3:4" x14ac:dyDescent="0.25">
      <c r="C72" s="11"/>
      <c r="D72" s="11"/>
    </row>
    <row r="73" spans="3:4" x14ac:dyDescent="0.25">
      <c r="C73" s="11"/>
      <c r="D73" s="11"/>
    </row>
    <row r="74" spans="3:4" x14ac:dyDescent="0.25">
      <c r="C74" s="11"/>
      <c r="D74" s="11"/>
    </row>
    <row r="75" spans="3:4" x14ac:dyDescent="0.25">
      <c r="C75" s="11"/>
      <c r="D75" s="11"/>
    </row>
    <row r="76" spans="3:4" x14ac:dyDescent="0.25">
      <c r="C76" s="11"/>
      <c r="D76" s="11"/>
    </row>
    <row r="77" spans="3:4" x14ac:dyDescent="0.25">
      <c r="C77" s="11"/>
      <c r="D77" s="11"/>
    </row>
    <row r="78" spans="3:4" x14ac:dyDescent="0.25">
      <c r="C78" s="11"/>
      <c r="D78" s="11"/>
    </row>
    <row r="79" spans="3:4" x14ac:dyDescent="0.25">
      <c r="C79" s="11"/>
      <c r="D79" s="11"/>
    </row>
    <row r="80" spans="3:4" x14ac:dyDescent="0.25">
      <c r="C80" s="11"/>
      <c r="D80" s="11"/>
    </row>
    <row r="81" spans="3:4" x14ac:dyDescent="0.25">
      <c r="C81" s="11"/>
      <c r="D81" s="11"/>
    </row>
    <row r="82" spans="3:4" x14ac:dyDescent="0.25">
      <c r="C82" s="11"/>
      <c r="D82" s="11"/>
    </row>
    <row r="83" spans="3:4" x14ac:dyDescent="0.25">
      <c r="C83" s="11"/>
      <c r="D83" s="11"/>
    </row>
    <row r="84" spans="3:4" x14ac:dyDescent="0.25">
      <c r="C84" s="11"/>
      <c r="D84" s="11"/>
    </row>
    <row r="85" spans="3:4" x14ac:dyDescent="0.25">
      <c r="C85" s="11"/>
      <c r="D85" s="11"/>
    </row>
    <row r="86" spans="3:4" x14ac:dyDescent="0.25">
      <c r="C86" s="11"/>
      <c r="D86" s="11"/>
    </row>
    <row r="87" spans="3:4" x14ac:dyDescent="0.25">
      <c r="C87" s="11"/>
      <c r="D87" s="11"/>
    </row>
    <row r="88" spans="3:4" x14ac:dyDescent="0.25">
      <c r="C88" s="11"/>
      <c r="D88" s="11"/>
    </row>
    <row r="89" spans="3:4" x14ac:dyDescent="0.25">
      <c r="C89" s="11"/>
      <c r="D89" s="11"/>
    </row>
    <row r="90" spans="3:4" x14ac:dyDescent="0.25">
      <c r="C90" s="11"/>
      <c r="D90" s="11"/>
    </row>
    <row r="91" spans="3:4" x14ac:dyDescent="0.25">
      <c r="C91" s="11"/>
      <c r="D91" s="11"/>
    </row>
    <row r="92" spans="3:4" x14ac:dyDescent="0.25">
      <c r="C92" s="11"/>
      <c r="D92" s="11"/>
    </row>
    <row r="93" spans="3:4" x14ac:dyDescent="0.25">
      <c r="C93" s="11"/>
      <c r="D93" s="11"/>
    </row>
    <row r="94" spans="3:4" x14ac:dyDescent="0.25">
      <c r="C94" s="11"/>
      <c r="D94" s="11"/>
    </row>
    <row r="95" spans="3:4" x14ac:dyDescent="0.25">
      <c r="C95" s="11"/>
      <c r="D95" s="11"/>
    </row>
    <row r="96" spans="3:4" x14ac:dyDescent="0.25">
      <c r="C96" s="11"/>
      <c r="D96" s="11"/>
    </row>
    <row r="97" spans="3:4" x14ac:dyDescent="0.25">
      <c r="C97" s="11"/>
      <c r="D97" s="11"/>
    </row>
    <row r="98" spans="3:4" x14ac:dyDescent="0.25">
      <c r="C98" s="11"/>
      <c r="D98" s="11"/>
    </row>
    <row r="99" spans="3:4" x14ac:dyDescent="0.25">
      <c r="C99" s="11"/>
      <c r="D99" s="11"/>
    </row>
    <row r="100" spans="3:4" x14ac:dyDescent="0.25">
      <c r="C100" s="11"/>
      <c r="D100" s="11"/>
    </row>
    <row r="101" spans="3:4" x14ac:dyDescent="0.25">
      <c r="C101" s="11"/>
      <c r="D101" s="11"/>
    </row>
    <row r="102" spans="3:4" x14ac:dyDescent="0.25">
      <c r="C102" s="11"/>
      <c r="D102" s="11"/>
    </row>
    <row r="103" spans="3:4" x14ac:dyDescent="0.25">
      <c r="C103" s="11"/>
      <c r="D103" s="11"/>
    </row>
    <row r="104" spans="3:4" x14ac:dyDescent="0.25">
      <c r="C104" s="11"/>
      <c r="D104" s="11"/>
    </row>
    <row r="105" spans="3:4" x14ac:dyDescent="0.25">
      <c r="C105" s="11"/>
      <c r="D105" s="11"/>
    </row>
    <row r="106" spans="3:4" x14ac:dyDescent="0.25">
      <c r="C106" s="11"/>
      <c r="D106" s="11"/>
    </row>
    <row r="107" spans="3:4" x14ac:dyDescent="0.25">
      <c r="C107" s="11"/>
      <c r="D107" s="11"/>
    </row>
    <row r="108" spans="3:4" x14ac:dyDescent="0.25">
      <c r="C108" s="11"/>
      <c r="D108" s="11"/>
    </row>
    <row r="109" spans="3:4" x14ac:dyDescent="0.25">
      <c r="C109" s="11"/>
      <c r="D109" s="11"/>
    </row>
    <row r="110" spans="3:4" x14ac:dyDescent="0.25">
      <c r="C110" s="11"/>
      <c r="D110" s="11"/>
    </row>
    <row r="111" spans="3:4" x14ac:dyDescent="0.25">
      <c r="C111" s="11"/>
      <c r="D111" s="11"/>
    </row>
    <row r="112" spans="3:4" x14ac:dyDescent="0.25">
      <c r="C112" s="11"/>
      <c r="D112" s="11"/>
    </row>
    <row r="113" spans="3:4" x14ac:dyDescent="0.25">
      <c r="C113" s="11"/>
      <c r="D113" s="11"/>
    </row>
    <row r="114" spans="3:4" x14ac:dyDescent="0.25">
      <c r="C114" s="11"/>
      <c r="D114" s="11"/>
    </row>
    <row r="115" spans="3:4" x14ac:dyDescent="0.25">
      <c r="C115" s="11"/>
      <c r="D115" s="11"/>
    </row>
    <row r="116" spans="3:4" x14ac:dyDescent="0.25">
      <c r="C116" s="11"/>
      <c r="D116" s="11"/>
    </row>
    <row r="117" spans="3:4" x14ac:dyDescent="0.25">
      <c r="C117" s="11"/>
      <c r="D117" s="11"/>
    </row>
    <row r="118" spans="3:4" x14ac:dyDescent="0.25">
      <c r="C118" s="11"/>
      <c r="D118" s="11"/>
    </row>
    <row r="119" spans="3:4" x14ac:dyDescent="0.25">
      <c r="C119" s="11"/>
      <c r="D119" s="11"/>
    </row>
    <row r="121" spans="3:4" x14ac:dyDescent="0.25">
      <c r="C121" s="11"/>
      <c r="D121" s="11"/>
    </row>
    <row r="122" spans="3:4" x14ac:dyDescent="0.25">
      <c r="C122" s="11"/>
      <c r="D122" s="11"/>
    </row>
    <row r="123" spans="3:4" x14ac:dyDescent="0.25">
      <c r="C123" s="11"/>
      <c r="D123" s="11"/>
    </row>
    <row r="124" spans="3:4" x14ac:dyDescent="0.25">
      <c r="C124" s="11"/>
      <c r="D124" s="11"/>
    </row>
    <row r="125" spans="3:4" x14ac:dyDescent="0.25">
      <c r="C125" s="11"/>
      <c r="D125" s="11"/>
    </row>
    <row r="126" spans="3:4" x14ac:dyDescent="0.25">
      <c r="C126" s="11"/>
      <c r="D126" s="11"/>
    </row>
    <row r="127" spans="3:4" x14ac:dyDescent="0.25">
      <c r="C127" s="11"/>
      <c r="D127" s="11"/>
    </row>
    <row r="128" spans="3:4" x14ac:dyDescent="0.25">
      <c r="C128" s="11"/>
      <c r="D128" s="11"/>
    </row>
    <row r="129" spans="3:4" x14ac:dyDescent="0.25">
      <c r="C129" s="11"/>
      <c r="D129" s="11"/>
    </row>
    <row r="130" spans="3:4" x14ac:dyDescent="0.25">
      <c r="C130" s="11"/>
      <c r="D130" s="11"/>
    </row>
    <row r="131" spans="3:4" x14ac:dyDescent="0.25">
      <c r="C131" s="11"/>
      <c r="D131" s="11"/>
    </row>
    <row r="132" spans="3:4" x14ac:dyDescent="0.25">
      <c r="C132" s="11"/>
      <c r="D132" s="11"/>
    </row>
    <row r="133" spans="3:4" x14ac:dyDescent="0.25">
      <c r="C133" s="11"/>
      <c r="D133" s="11"/>
    </row>
    <row r="134" spans="3:4" x14ac:dyDescent="0.25">
      <c r="C134" s="11"/>
      <c r="D134" s="11"/>
    </row>
    <row r="135" spans="3:4" x14ac:dyDescent="0.25">
      <c r="C135" s="11"/>
      <c r="D135" s="11"/>
    </row>
    <row r="136" spans="3:4" x14ac:dyDescent="0.25">
      <c r="C136" s="11"/>
      <c r="D136" s="11"/>
    </row>
    <row r="137" spans="3:4" x14ac:dyDescent="0.25">
      <c r="C137" s="11"/>
      <c r="D137" s="11"/>
    </row>
    <row r="138" spans="3:4" x14ac:dyDescent="0.25">
      <c r="C138" s="11"/>
      <c r="D138" s="11"/>
    </row>
    <row r="139" spans="3:4" x14ac:dyDescent="0.25">
      <c r="C139" s="11"/>
      <c r="D139" s="11"/>
    </row>
    <row r="140" spans="3:4" x14ac:dyDescent="0.25">
      <c r="C140" s="11"/>
      <c r="D140" s="11"/>
    </row>
    <row r="141" spans="3:4" x14ac:dyDescent="0.25">
      <c r="C141" s="11"/>
      <c r="D141" s="11"/>
    </row>
    <row r="142" spans="3:4" x14ac:dyDescent="0.25">
      <c r="C142" s="11"/>
      <c r="D142" s="11"/>
    </row>
    <row r="143" spans="3:4" x14ac:dyDescent="0.25">
      <c r="C143" s="11"/>
      <c r="D143" s="11"/>
    </row>
    <row r="144" spans="3:4" x14ac:dyDescent="0.25">
      <c r="C144" s="11"/>
      <c r="D144" s="11"/>
    </row>
    <row r="145" spans="3:4" x14ac:dyDescent="0.25">
      <c r="C145" s="11"/>
      <c r="D145" s="11"/>
    </row>
    <row r="146" spans="3:4" x14ac:dyDescent="0.25">
      <c r="C146" s="11"/>
      <c r="D146" s="11"/>
    </row>
    <row r="147" spans="3:4" x14ac:dyDescent="0.25">
      <c r="C147" s="11"/>
      <c r="D147" s="11"/>
    </row>
    <row r="148" spans="3:4" x14ac:dyDescent="0.25">
      <c r="C148" s="11"/>
      <c r="D148" s="11"/>
    </row>
    <row r="149" spans="3:4" x14ac:dyDescent="0.25">
      <c r="C149" s="11"/>
      <c r="D149" s="11"/>
    </row>
    <row r="150" spans="3:4" x14ac:dyDescent="0.25">
      <c r="C150" s="11"/>
      <c r="D150" s="11"/>
    </row>
    <row r="151" spans="3:4" x14ac:dyDescent="0.25">
      <c r="C151" s="11"/>
      <c r="D151" s="11"/>
    </row>
    <row r="152" spans="3:4" x14ac:dyDescent="0.25">
      <c r="C152" s="11"/>
      <c r="D152" s="11"/>
    </row>
    <row r="153" spans="3:4" x14ac:dyDescent="0.25">
      <c r="C153" s="11"/>
      <c r="D153" s="11"/>
    </row>
    <row r="154" spans="3:4" x14ac:dyDescent="0.25">
      <c r="C154" s="11"/>
      <c r="D154" s="11"/>
    </row>
    <row r="155" spans="3:4" x14ac:dyDescent="0.25">
      <c r="C155" s="11"/>
      <c r="D155" s="11"/>
    </row>
    <row r="156" spans="3:4" x14ac:dyDescent="0.25">
      <c r="C156" s="11"/>
      <c r="D156" s="11"/>
    </row>
    <row r="157" spans="3:4" x14ac:dyDescent="0.25">
      <c r="C157" s="11"/>
      <c r="D157" s="11"/>
    </row>
    <row r="158" spans="3:4" x14ac:dyDescent="0.25">
      <c r="C158" s="11"/>
      <c r="D158" s="11"/>
    </row>
    <row r="159" spans="3:4" x14ac:dyDescent="0.25">
      <c r="C159" s="11"/>
      <c r="D159" s="11"/>
    </row>
    <row r="160" spans="3:4" x14ac:dyDescent="0.25">
      <c r="C160" s="11"/>
      <c r="D160" s="11"/>
    </row>
    <row r="161" spans="3:4" x14ac:dyDescent="0.25">
      <c r="C161" s="11"/>
      <c r="D161" s="11"/>
    </row>
    <row r="162" spans="3:4" x14ac:dyDescent="0.25">
      <c r="C162" s="11"/>
      <c r="D162" s="11"/>
    </row>
    <row r="163" spans="3:4" x14ac:dyDescent="0.25">
      <c r="C163" s="11"/>
      <c r="D163" s="11"/>
    </row>
    <row r="164" spans="3:4" x14ac:dyDescent="0.25">
      <c r="C164" s="11"/>
      <c r="D164" s="11"/>
    </row>
    <row r="165" spans="3:4" x14ac:dyDescent="0.25">
      <c r="C165" s="11"/>
      <c r="D165" s="11"/>
    </row>
    <row r="166" spans="3:4" x14ac:dyDescent="0.25">
      <c r="C166" s="11"/>
      <c r="D166" s="11"/>
    </row>
    <row r="167" spans="3:4" x14ac:dyDescent="0.25">
      <c r="C167" s="11"/>
      <c r="D167" s="11"/>
    </row>
    <row r="168" spans="3:4" x14ac:dyDescent="0.25">
      <c r="C168" s="11"/>
      <c r="D168" s="11"/>
    </row>
    <row r="169" spans="3:4" x14ac:dyDescent="0.25">
      <c r="C169" s="11"/>
      <c r="D169" s="11"/>
    </row>
    <row r="170" spans="3:4" x14ac:dyDescent="0.25">
      <c r="C170" s="11"/>
      <c r="D170" s="11"/>
    </row>
    <row r="171" spans="3:4" x14ac:dyDescent="0.25">
      <c r="C171" s="11"/>
      <c r="D171" s="11"/>
    </row>
    <row r="172" spans="3:4" x14ac:dyDescent="0.25">
      <c r="C172" s="11"/>
      <c r="D172" s="11"/>
    </row>
    <row r="173" spans="3:4" x14ac:dyDescent="0.25">
      <c r="C173" s="11"/>
      <c r="D173" s="11"/>
    </row>
    <row r="174" spans="3:4" x14ac:dyDescent="0.25">
      <c r="C174" s="11"/>
      <c r="D174" s="11"/>
    </row>
    <row r="175" spans="3:4" x14ac:dyDescent="0.25">
      <c r="C175" s="11"/>
      <c r="D175" s="11"/>
    </row>
    <row r="176" spans="3:4" x14ac:dyDescent="0.25">
      <c r="C176" s="11"/>
      <c r="D176" s="11"/>
    </row>
    <row r="177" spans="3:4" x14ac:dyDescent="0.25">
      <c r="C177" s="11"/>
      <c r="D177" s="11"/>
    </row>
    <row r="178" spans="3:4" x14ac:dyDescent="0.25">
      <c r="C178" s="11"/>
      <c r="D178" s="11"/>
    </row>
    <row r="179" spans="3:4" x14ac:dyDescent="0.25">
      <c r="C179" s="11"/>
      <c r="D179" s="11"/>
    </row>
    <row r="180" spans="3:4" x14ac:dyDescent="0.25">
      <c r="C180" s="11"/>
      <c r="D180" s="11"/>
    </row>
    <row r="181" spans="3:4" x14ac:dyDescent="0.25">
      <c r="C181" s="11"/>
      <c r="D181" s="11"/>
    </row>
    <row r="182" spans="3:4" x14ac:dyDescent="0.25">
      <c r="C182" s="11"/>
      <c r="D182" s="11"/>
    </row>
    <row r="183" spans="3:4" x14ac:dyDescent="0.25">
      <c r="C183" s="11"/>
      <c r="D183" s="11"/>
    </row>
    <row r="184" spans="3:4" x14ac:dyDescent="0.25">
      <c r="C184" s="11"/>
      <c r="D184" s="11"/>
    </row>
    <row r="185" spans="3:4" x14ac:dyDescent="0.25">
      <c r="C185" s="11"/>
      <c r="D185" s="11"/>
    </row>
    <row r="186" spans="3:4" x14ac:dyDescent="0.25">
      <c r="C186" s="11"/>
      <c r="D186" s="11"/>
    </row>
    <row r="187" spans="3:4" x14ac:dyDescent="0.25">
      <c r="C187" s="11"/>
      <c r="D187" s="11"/>
    </row>
    <row r="188" spans="3:4" x14ac:dyDescent="0.25">
      <c r="C188" s="11"/>
      <c r="D188" s="11"/>
    </row>
    <row r="189" spans="3:4" x14ac:dyDescent="0.25">
      <c r="C189" s="11"/>
      <c r="D189" s="11"/>
    </row>
    <row r="190" spans="3:4" x14ac:dyDescent="0.25">
      <c r="C190" s="11"/>
      <c r="D190" s="11"/>
    </row>
    <row r="191" spans="3:4" x14ac:dyDescent="0.25">
      <c r="C191" s="11"/>
      <c r="D191" s="11"/>
    </row>
    <row r="192" spans="3:4" x14ac:dyDescent="0.25">
      <c r="C192" s="11"/>
      <c r="D192" s="11"/>
    </row>
    <row r="193" spans="3:4" x14ac:dyDescent="0.25">
      <c r="C193" s="11"/>
      <c r="D193" s="11"/>
    </row>
    <row r="194" spans="3:4" x14ac:dyDescent="0.25">
      <c r="C194" s="11"/>
      <c r="D194" s="11"/>
    </row>
    <row r="195" spans="3:4" x14ac:dyDescent="0.25">
      <c r="C195" s="11"/>
      <c r="D195" s="11"/>
    </row>
    <row r="196" spans="3:4" x14ac:dyDescent="0.25">
      <c r="C196" s="11"/>
      <c r="D196" s="11"/>
    </row>
    <row r="197" spans="3:4" x14ac:dyDescent="0.25">
      <c r="C197" s="11"/>
      <c r="D197" s="11"/>
    </row>
    <row r="198" spans="3:4" x14ac:dyDescent="0.25">
      <c r="C198" s="11"/>
      <c r="D198" s="11"/>
    </row>
    <row r="199" spans="3:4" x14ac:dyDescent="0.25">
      <c r="C199" s="11"/>
      <c r="D199" s="11"/>
    </row>
    <row r="200" spans="3:4" x14ac:dyDescent="0.25">
      <c r="C200" s="11"/>
      <c r="D200" s="11"/>
    </row>
    <row r="201" spans="3:4" x14ac:dyDescent="0.25">
      <c r="C201" s="11"/>
      <c r="D201" s="11"/>
    </row>
    <row r="202" spans="3:4" x14ac:dyDescent="0.25">
      <c r="C202" s="11"/>
      <c r="D202" s="11"/>
    </row>
    <row r="203" spans="3:4" x14ac:dyDescent="0.25">
      <c r="C203" s="11"/>
      <c r="D203" s="11"/>
    </row>
    <row r="204" spans="3:4" x14ac:dyDescent="0.25">
      <c r="C204" s="11"/>
      <c r="D204" s="11"/>
    </row>
    <row r="205" spans="3:4" x14ac:dyDescent="0.25">
      <c r="C205" s="11"/>
      <c r="D205" s="11"/>
    </row>
    <row r="206" spans="3:4" x14ac:dyDescent="0.25">
      <c r="C206" s="11"/>
      <c r="D206" s="11"/>
    </row>
    <row r="207" spans="3:4" x14ac:dyDescent="0.25">
      <c r="C207" s="11"/>
      <c r="D207" s="11"/>
    </row>
    <row r="208" spans="3:4" x14ac:dyDescent="0.25">
      <c r="C208" s="11"/>
      <c r="D208" s="11"/>
    </row>
    <row r="209" spans="3:4" x14ac:dyDescent="0.25">
      <c r="C209" s="11"/>
      <c r="D209" s="11"/>
    </row>
    <row r="210" spans="3:4" x14ac:dyDescent="0.25">
      <c r="C210" s="11"/>
      <c r="D210" s="11"/>
    </row>
    <row r="211" spans="3:4" x14ac:dyDescent="0.25">
      <c r="C211" s="11"/>
      <c r="D211" s="11"/>
    </row>
    <row r="212" spans="3:4" x14ac:dyDescent="0.25">
      <c r="C212" s="11"/>
      <c r="D212" s="11"/>
    </row>
    <row r="213" spans="3:4" x14ac:dyDescent="0.25">
      <c r="C213" s="11"/>
      <c r="D213" s="11"/>
    </row>
    <row r="214" spans="3:4" x14ac:dyDescent="0.25">
      <c r="C214" s="11"/>
      <c r="D214" s="11"/>
    </row>
    <row r="215" spans="3:4" x14ac:dyDescent="0.25">
      <c r="C215" s="11"/>
      <c r="D215" s="11"/>
    </row>
    <row r="216" spans="3:4" x14ac:dyDescent="0.25">
      <c r="C216" s="11"/>
      <c r="D216" s="11"/>
    </row>
    <row r="217" spans="3:4" x14ac:dyDescent="0.25">
      <c r="C217" s="11"/>
      <c r="D217" s="11"/>
    </row>
    <row r="218" spans="3:4" x14ac:dyDescent="0.25">
      <c r="C218" s="11"/>
      <c r="D218" s="11"/>
    </row>
    <row r="219" spans="3:4" x14ac:dyDescent="0.25">
      <c r="C219" s="11"/>
      <c r="D219" s="11"/>
    </row>
    <row r="220" spans="3:4" x14ac:dyDescent="0.25">
      <c r="C220" s="11"/>
      <c r="D220" s="11"/>
    </row>
    <row r="221" spans="3:4" x14ac:dyDescent="0.25">
      <c r="C221" s="11"/>
      <c r="D221" s="11"/>
    </row>
    <row r="222" spans="3:4" x14ac:dyDescent="0.25">
      <c r="C222" s="11"/>
      <c r="D222" s="11"/>
    </row>
    <row r="223" spans="3:4" x14ac:dyDescent="0.25">
      <c r="C223" s="11"/>
      <c r="D223" s="11"/>
    </row>
    <row r="224" spans="3:4" x14ac:dyDescent="0.25">
      <c r="C224" s="11"/>
      <c r="D224" s="11"/>
    </row>
    <row r="225" spans="3:4" x14ac:dyDescent="0.25">
      <c r="C225" s="11"/>
      <c r="D225" s="11"/>
    </row>
    <row r="226" spans="3:4" x14ac:dyDescent="0.25">
      <c r="C226" s="11"/>
      <c r="D226" s="11"/>
    </row>
    <row r="227" spans="3:4" x14ac:dyDescent="0.25">
      <c r="C227" s="11"/>
      <c r="D227" s="11"/>
    </row>
    <row r="228" spans="3:4" x14ac:dyDescent="0.25">
      <c r="C228" s="11"/>
      <c r="D228" s="11"/>
    </row>
    <row r="229" spans="3:4" x14ac:dyDescent="0.25">
      <c r="C229" s="11"/>
      <c r="D229" s="11"/>
    </row>
    <row r="230" spans="3:4" x14ac:dyDescent="0.25">
      <c r="C230" s="11"/>
      <c r="D230" s="11"/>
    </row>
    <row r="231" spans="3:4" x14ac:dyDescent="0.25">
      <c r="C231" s="11"/>
      <c r="D231" s="11"/>
    </row>
    <row r="232" spans="3:4" x14ac:dyDescent="0.25">
      <c r="C232" s="11"/>
      <c r="D232" s="11"/>
    </row>
    <row r="233" spans="3:4" x14ac:dyDescent="0.25">
      <c r="C233" s="11"/>
      <c r="D233" s="11"/>
    </row>
    <row r="234" spans="3:4" x14ac:dyDescent="0.25">
      <c r="C234" s="11"/>
      <c r="D234" s="11"/>
    </row>
    <row r="235" spans="3:4" x14ac:dyDescent="0.25">
      <c r="C235" s="11"/>
      <c r="D235" s="11"/>
    </row>
    <row r="236" spans="3:4" x14ac:dyDescent="0.25">
      <c r="C236" s="11"/>
      <c r="D236" s="11"/>
    </row>
    <row r="237" spans="3:4" x14ac:dyDescent="0.25">
      <c r="C237" s="11"/>
      <c r="D237" s="11"/>
    </row>
    <row r="238" spans="3:4" x14ac:dyDescent="0.25">
      <c r="C238" s="11"/>
      <c r="D238" s="11"/>
    </row>
    <row r="239" spans="3:4" x14ac:dyDescent="0.25">
      <c r="C239" s="11"/>
      <c r="D239" s="11"/>
    </row>
    <row r="240" spans="3:4" x14ac:dyDescent="0.25">
      <c r="C240" s="11"/>
      <c r="D240" s="11"/>
    </row>
    <row r="242" spans="3:4" x14ac:dyDescent="0.25">
      <c r="C242" s="11"/>
      <c r="D242" s="11"/>
    </row>
    <row r="243" spans="3:4" x14ac:dyDescent="0.25">
      <c r="C243" s="11"/>
      <c r="D243" s="11"/>
    </row>
    <row r="244" spans="3:4" x14ac:dyDescent="0.25">
      <c r="C244" s="11"/>
      <c r="D244" s="11"/>
    </row>
    <row r="245" spans="3:4" x14ac:dyDescent="0.25">
      <c r="C245" s="11"/>
      <c r="D245" s="11"/>
    </row>
    <row r="246" spans="3:4" x14ac:dyDescent="0.25">
      <c r="C246" s="11"/>
      <c r="D246" s="11"/>
    </row>
    <row r="247" spans="3:4" x14ac:dyDescent="0.25">
      <c r="C247" s="11"/>
      <c r="D247" s="11"/>
    </row>
    <row r="248" spans="3:4" x14ac:dyDescent="0.25">
      <c r="C248" s="11"/>
      <c r="D248" s="11"/>
    </row>
    <row r="249" spans="3:4" x14ac:dyDescent="0.25">
      <c r="C249" s="11"/>
      <c r="D249" s="11"/>
    </row>
    <row r="250" spans="3:4" x14ac:dyDescent="0.25">
      <c r="C250" s="11"/>
      <c r="D250" s="11"/>
    </row>
    <row r="251" spans="3:4" x14ac:dyDescent="0.25">
      <c r="C251" s="11"/>
      <c r="D251" s="11"/>
    </row>
    <row r="252" spans="3:4" x14ac:dyDescent="0.25">
      <c r="C252" s="11"/>
      <c r="D252" s="11"/>
    </row>
    <row r="253" spans="3:4" x14ac:dyDescent="0.25">
      <c r="C253" s="11"/>
      <c r="D253" s="11"/>
    </row>
    <row r="254" spans="3:4" x14ac:dyDescent="0.25">
      <c r="C254" s="11"/>
      <c r="D254" s="11"/>
    </row>
    <row r="255" spans="3:4" x14ac:dyDescent="0.25">
      <c r="C255" s="11"/>
      <c r="D255" s="11"/>
    </row>
    <row r="256" spans="3:4" x14ac:dyDescent="0.25">
      <c r="C256" s="11"/>
      <c r="D256" s="11"/>
    </row>
    <row r="257" spans="3:4" x14ac:dyDescent="0.25">
      <c r="C257" s="11"/>
      <c r="D257" s="11"/>
    </row>
    <row r="258" spans="3:4" x14ac:dyDescent="0.25">
      <c r="C258" s="11"/>
      <c r="D258" s="11"/>
    </row>
    <row r="259" spans="3:4" x14ac:dyDescent="0.25">
      <c r="C259" s="11"/>
      <c r="D259" s="11"/>
    </row>
    <row r="260" spans="3:4" x14ac:dyDescent="0.25">
      <c r="C260" s="11"/>
      <c r="D260" s="11"/>
    </row>
    <row r="261" spans="3:4" x14ac:dyDescent="0.25">
      <c r="C261" s="11"/>
      <c r="D261" s="11"/>
    </row>
    <row r="262" spans="3:4" x14ac:dyDescent="0.25">
      <c r="C262" s="11"/>
      <c r="D262" s="11"/>
    </row>
    <row r="263" spans="3:4" x14ac:dyDescent="0.25">
      <c r="C263" s="11"/>
      <c r="D263" s="11"/>
    </row>
    <row r="264" spans="3:4" x14ac:dyDescent="0.25">
      <c r="C264" s="11"/>
      <c r="D264" s="11"/>
    </row>
    <row r="265" spans="3:4" x14ac:dyDescent="0.25">
      <c r="C265" s="11"/>
      <c r="D265" s="11"/>
    </row>
    <row r="266" spans="3:4" x14ac:dyDescent="0.25">
      <c r="C266" s="11"/>
      <c r="D266" s="11"/>
    </row>
    <row r="267" spans="3:4" x14ac:dyDescent="0.25">
      <c r="C267" s="11"/>
      <c r="D267" s="11"/>
    </row>
    <row r="268" spans="3:4" x14ac:dyDescent="0.25">
      <c r="C268" s="11"/>
      <c r="D268" s="11"/>
    </row>
    <row r="269" spans="3:4" x14ac:dyDescent="0.25">
      <c r="C269" s="11"/>
      <c r="D269" s="11"/>
    </row>
    <row r="270" spans="3:4" x14ac:dyDescent="0.25">
      <c r="C270" s="11"/>
      <c r="D270" s="11"/>
    </row>
    <row r="271" spans="3:4" x14ac:dyDescent="0.25">
      <c r="C271" s="11"/>
      <c r="D271" s="11"/>
    </row>
    <row r="272" spans="3:4" x14ac:dyDescent="0.25">
      <c r="C272" s="11"/>
      <c r="D272" s="11"/>
    </row>
    <row r="273" spans="3:4" x14ac:dyDescent="0.25">
      <c r="C273" s="11"/>
      <c r="D273" s="11"/>
    </row>
    <row r="274" spans="3:4" x14ac:dyDescent="0.25">
      <c r="C274" s="11"/>
      <c r="D274" s="11"/>
    </row>
    <row r="275" spans="3:4" x14ac:dyDescent="0.25">
      <c r="C275" s="11"/>
      <c r="D275" s="11"/>
    </row>
    <row r="276" spans="3:4" x14ac:dyDescent="0.25">
      <c r="C276" s="11"/>
      <c r="D276" s="11"/>
    </row>
    <row r="277" spans="3:4" x14ac:dyDescent="0.25">
      <c r="C277" s="11"/>
      <c r="D277" s="11"/>
    </row>
    <row r="278" spans="3:4" x14ac:dyDescent="0.25">
      <c r="C278" s="11"/>
      <c r="D278" s="11"/>
    </row>
    <row r="279" spans="3:4" x14ac:dyDescent="0.25">
      <c r="C279" s="11"/>
      <c r="D279" s="11"/>
    </row>
    <row r="280" spans="3:4" x14ac:dyDescent="0.25">
      <c r="C280" s="11"/>
      <c r="D280" s="11"/>
    </row>
    <row r="281" spans="3:4" x14ac:dyDescent="0.25">
      <c r="C281" s="11"/>
      <c r="D281" s="11"/>
    </row>
    <row r="282" spans="3:4" x14ac:dyDescent="0.25">
      <c r="C282" s="11"/>
      <c r="D282" s="11"/>
    </row>
    <row r="283" spans="3:4" x14ac:dyDescent="0.25">
      <c r="C283" s="11"/>
      <c r="D283" s="11"/>
    </row>
    <row r="284" spans="3:4" x14ac:dyDescent="0.25">
      <c r="C284" s="11"/>
      <c r="D284" s="11"/>
    </row>
    <row r="285" spans="3:4" x14ac:dyDescent="0.25">
      <c r="C285" s="11"/>
      <c r="D285" s="11"/>
    </row>
    <row r="286" spans="3:4" x14ac:dyDescent="0.25">
      <c r="C286" s="11"/>
      <c r="D286" s="11"/>
    </row>
    <row r="287" spans="3:4" x14ac:dyDescent="0.25">
      <c r="C287" s="11"/>
      <c r="D287" s="11"/>
    </row>
    <row r="288" spans="3:4" x14ac:dyDescent="0.25">
      <c r="C288" s="11"/>
      <c r="D288" s="11"/>
    </row>
    <row r="289" spans="3:4" x14ac:dyDescent="0.25">
      <c r="C289" s="11"/>
      <c r="D289" s="11"/>
    </row>
    <row r="290" spans="3:4" x14ac:dyDescent="0.25">
      <c r="C290" s="11"/>
      <c r="D290" s="11"/>
    </row>
    <row r="291" spans="3:4" x14ac:dyDescent="0.25">
      <c r="C291" s="11"/>
      <c r="D291" s="11"/>
    </row>
    <row r="292" spans="3:4" x14ac:dyDescent="0.25">
      <c r="C292" s="11"/>
      <c r="D292" s="11"/>
    </row>
    <row r="293" spans="3:4" x14ac:dyDescent="0.25">
      <c r="C293" s="11"/>
      <c r="D293" s="11"/>
    </row>
    <row r="294" spans="3:4" x14ac:dyDescent="0.25">
      <c r="C294" s="11"/>
      <c r="D294" s="11"/>
    </row>
    <row r="295" spans="3:4" x14ac:dyDescent="0.25">
      <c r="C295" s="11"/>
      <c r="D295" s="11"/>
    </row>
    <row r="296" spans="3:4" x14ac:dyDescent="0.25">
      <c r="C296" s="11"/>
      <c r="D296" s="11"/>
    </row>
    <row r="297" spans="3:4" x14ac:dyDescent="0.25">
      <c r="C297" s="11"/>
      <c r="D297" s="11"/>
    </row>
    <row r="298" spans="3:4" x14ac:dyDescent="0.25">
      <c r="C298" s="11"/>
      <c r="D298" s="11"/>
    </row>
    <row r="299" spans="3:4" x14ac:dyDescent="0.25">
      <c r="C299" s="11"/>
      <c r="D299" s="11"/>
    </row>
    <row r="300" spans="3:4" x14ac:dyDescent="0.25">
      <c r="C300" s="11"/>
      <c r="D300" s="11"/>
    </row>
    <row r="301" spans="3:4" x14ac:dyDescent="0.25">
      <c r="C301" s="11"/>
      <c r="D301" s="11"/>
    </row>
    <row r="302" spans="3:4" x14ac:dyDescent="0.25">
      <c r="C302" s="11"/>
      <c r="D302" s="11"/>
    </row>
    <row r="303" spans="3:4" x14ac:dyDescent="0.25">
      <c r="C303" s="11"/>
      <c r="D303" s="11"/>
    </row>
    <row r="304" spans="3:4" x14ac:dyDescent="0.25">
      <c r="C304" s="11"/>
      <c r="D304" s="11"/>
    </row>
    <row r="305" spans="3:4" x14ac:dyDescent="0.25">
      <c r="C305" s="11"/>
      <c r="D305" s="11"/>
    </row>
    <row r="306" spans="3:4" x14ac:dyDescent="0.25">
      <c r="C306" s="11"/>
      <c r="D306" s="11"/>
    </row>
    <row r="307" spans="3:4" x14ac:dyDescent="0.25">
      <c r="C307" s="11"/>
      <c r="D307" s="11"/>
    </row>
    <row r="308" spans="3:4" x14ac:dyDescent="0.25">
      <c r="C308" s="11"/>
      <c r="D308" s="11"/>
    </row>
    <row r="309" spans="3:4" x14ac:dyDescent="0.25">
      <c r="C309" s="11"/>
      <c r="D309" s="11"/>
    </row>
    <row r="310" spans="3:4" x14ac:dyDescent="0.25">
      <c r="C310" s="11"/>
      <c r="D310" s="11"/>
    </row>
    <row r="311" spans="3:4" x14ac:dyDescent="0.25">
      <c r="C311" s="11"/>
      <c r="D311" s="11"/>
    </row>
    <row r="312" spans="3:4" x14ac:dyDescent="0.25">
      <c r="C312" s="11"/>
      <c r="D312" s="11"/>
    </row>
    <row r="313" spans="3:4" x14ac:dyDescent="0.25">
      <c r="C313" s="11"/>
      <c r="D313" s="11"/>
    </row>
    <row r="314" spans="3:4" x14ac:dyDescent="0.25">
      <c r="C314" s="11"/>
      <c r="D314" s="11"/>
    </row>
    <row r="315" spans="3:4" x14ac:dyDescent="0.25">
      <c r="C315" s="11"/>
      <c r="D315" s="11"/>
    </row>
    <row r="316" spans="3:4" x14ac:dyDescent="0.25">
      <c r="C316" s="11"/>
      <c r="D316" s="11"/>
    </row>
    <row r="317" spans="3:4" x14ac:dyDescent="0.25">
      <c r="C317" s="11"/>
      <c r="D317" s="11"/>
    </row>
    <row r="318" spans="3:4" x14ac:dyDescent="0.25">
      <c r="C318" s="11"/>
      <c r="D318" s="11"/>
    </row>
    <row r="319" spans="3:4" x14ac:dyDescent="0.25">
      <c r="C319" s="11"/>
      <c r="D319" s="11"/>
    </row>
    <row r="320" spans="3:4" x14ac:dyDescent="0.25">
      <c r="C320" s="11"/>
      <c r="D320" s="11"/>
    </row>
    <row r="321" spans="3:4" x14ac:dyDescent="0.25">
      <c r="C321" s="11"/>
      <c r="D321" s="11"/>
    </row>
    <row r="322" spans="3:4" x14ac:dyDescent="0.25">
      <c r="C322" s="11"/>
      <c r="D322" s="11"/>
    </row>
    <row r="323" spans="3:4" x14ac:dyDescent="0.25">
      <c r="C323" s="11"/>
      <c r="D323" s="11"/>
    </row>
    <row r="324" spans="3:4" x14ac:dyDescent="0.25">
      <c r="C324" s="11"/>
      <c r="D324" s="11"/>
    </row>
    <row r="325" spans="3:4" x14ac:dyDescent="0.25">
      <c r="C325" s="11"/>
      <c r="D325" s="11"/>
    </row>
    <row r="326" spans="3:4" x14ac:dyDescent="0.25">
      <c r="C326" s="11"/>
      <c r="D326" s="11"/>
    </row>
    <row r="327" spans="3:4" x14ac:dyDescent="0.25">
      <c r="C327" s="11"/>
      <c r="D327" s="11"/>
    </row>
    <row r="328" spans="3:4" x14ac:dyDescent="0.25">
      <c r="C328" s="11"/>
      <c r="D328" s="11"/>
    </row>
    <row r="329" spans="3:4" x14ac:dyDescent="0.25">
      <c r="C329" s="11"/>
      <c r="D329" s="11"/>
    </row>
    <row r="330" spans="3:4" x14ac:dyDescent="0.25">
      <c r="C330" s="11"/>
      <c r="D330" s="11"/>
    </row>
    <row r="331" spans="3:4" x14ac:dyDescent="0.25">
      <c r="C331" s="11"/>
      <c r="D331" s="11"/>
    </row>
    <row r="332" spans="3:4" x14ac:dyDescent="0.25">
      <c r="C332" s="11"/>
      <c r="D332" s="11"/>
    </row>
    <row r="333" spans="3:4" x14ac:dyDescent="0.25">
      <c r="C333" s="11"/>
      <c r="D333" s="11"/>
    </row>
    <row r="334" spans="3:4" x14ac:dyDescent="0.25">
      <c r="C334" s="11"/>
      <c r="D334" s="11"/>
    </row>
    <row r="335" spans="3:4" x14ac:dyDescent="0.25">
      <c r="C335" s="11"/>
      <c r="D335" s="11"/>
    </row>
    <row r="336" spans="3:4" x14ac:dyDescent="0.25">
      <c r="C336" s="11"/>
      <c r="D336" s="11"/>
    </row>
    <row r="337" spans="3:4" x14ac:dyDescent="0.25">
      <c r="C337" s="11"/>
      <c r="D337" s="11"/>
    </row>
    <row r="338" spans="3:4" x14ac:dyDescent="0.25">
      <c r="C338" s="11"/>
      <c r="D338" s="11"/>
    </row>
    <row r="339" spans="3:4" x14ac:dyDescent="0.25">
      <c r="C339" s="11"/>
      <c r="D339" s="11"/>
    </row>
    <row r="340" spans="3:4" x14ac:dyDescent="0.25">
      <c r="C340" s="11"/>
      <c r="D340" s="11"/>
    </row>
    <row r="341" spans="3:4" x14ac:dyDescent="0.25">
      <c r="C341" s="11"/>
      <c r="D341" s="11"/>
    </row>
    <row r="342" spans="3:4" x14ac:dyDescent="0.25">
      <c r="C342" s="11"/>
      <c r="D342" s="11"/>
    </row>
    <row r="343" spans="3:4" x14ac:dyDescent="0.25">
      <c r="C343" s="11"/>
      <c r="D343" s="11"/>
    </row>
    <row r="344" spans="3:4" x14ac:dyDescent="0.25">
      <c r="C344" s="11"/>
      <c r="D344" s="11"/>
    </row>
    <row r="345" spans="3:4" x14ac:dyDescent="0.25">
      <c r="C345" s="11"/>
      <c r="D345" s="11"/>
    </row>
    <row r="346" spans="3:4" x14ac:dyDescent="0.25">
      <c r="C346" s="11"/>
      <c r="D346" s="11"/>
    </row>
    <row r="347" spans="3:4" x14ac:dyDescent="0.25">
      <c r="C347" s="11"/>
      <c r="D347" s="11"/>
    </row>
    <row r="348" spans="3:4" x14ac:dyDescent="0.25">
      <c r="C348" s="11"/>
      <c r="D348" s="11"/>
    </row>
    <row r="349" spans="3:4" x14ac:dyDescent="0.25">
      <c r="C349" s="11"/>
      <c r="D349" s="11"/>
    </row>
    <row r="350" spans="3:4" x14ac:dyDescent="0.25">
      <c r="C350" s="11"/>
      <c r="D350" s="11"/>
    </row>
    <row r="351" spans="3:4" x14ac:dyDescent="0.25">
      <c r="C351" s="11"/>
      <c r="D351" s="11"/>
    </row>
    <row r="352" spans="3:4" x14ac:dyDescent="0.25">
      <c r="C352" s="11"/>
      <c r="D352" s="11"/>
    </row>
    <row r="353" spans="3:4" x14ac:dyDescent="0.25">
      <c r="C353" s="11"/>
      <c r="D353" s="11"/>
    </row>
    <row r="354" spans="3:4" x14ac:dyDescent="0.25">
      <c r="C354" s="11"/>
      <c r="D354" s="11"/>
    </row>
    <row r="355" spans="3:4" x14ac:dyDescent="0.25">
      <c r="C355" s="11"/>
      <c r="D355" s="11"/>
    </row>
    <row r="356" spans="3:4" x14ac:dyDescent="0.25">
      <c r="C356" s="11"/>
      <c r="D356" s="11"/>
    </row>
    <row r="357" spans="3:4" x14ac:dyDescent="0.25">
      <c r="C357" s="11"/>
      <c r="D357" s="11"/>
    </row>
    <row r="358" spans="3:4" x14ac:dyDescent="0.25">
      <c r="C358" s="11"/>
      <c r="D358" s="11"/>
    </row>
    <row r="359" spans="3:4" x14ac:dyDescent="0.25">
      <c r="C359" s="11"/>
      <c r="D359" s="11"/>
    </row>
    <row r="360" spans="3:4" x14ac:dyDescent="0.25">
      <c r="C360" s="11"/>
      <c r="D360" s="11"/>
    </row>
    <row r="361" spans="3:4" x14ac:dyDescent="0.25">
      <c r="C361" s="11"/>
      <c r="D361" s="11"/>
    </row>
  </sheetData>
  <mergeCells count="24">
    <mergeCell ref="W1:X1"/>
    <mergeCell ref="Y1:Z1"/>
    <mergeCell ref="AA1:AB1"/>
    <mergeCell ref="AC1:AD1"/>
    <mergeCell ref="K3:T3"/>
    <mergeCell ref="U3:AD3"/>
    <mergeCell ref="M1:N1"/>
    <mergeCell ref="O1:P1"/>
    <mergeCell ref="Q1:R1"/>
    <mergeCell ref="S1:T1"/>
    <mergeCell ref="U1:V1"/>
    <mergeCell ref="K1:L1"/>
    <mergeCell ref="A1:B1"/>
    <mergeCell ref="C1:D1"/>
    <mergeCell ref="E1:F1"/>
    <mergeCell ref="G1:H1"/>
    <mergeCell ref="I1:J1"/>
    <mergeCell ref="A3:J3"/>
    <mergeCell ref="A13:J13"/>
    <mergeCell ref="A23:J23"/>
    <mergeCell ref="K13:T13"/>
    <mergeCell ref="U13:AD13"/>
    <mergeCell ref="K23:T23"/>
    <mergeCell ref="U23:AD23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B569-70F1-400A-877C-F623BB1F9673}">
  <dimension ref="A1"/>
  <sheetViews>
    <sheetView workbookViewId="0">
      <selection activeCell="F13" sqref="F13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1CF8-C8CB-47FD-9F54-7D640590735A}">
  <dimension ref="A1:P74"/>
  <sheetViews>
    <sheetView tabSelected="1" topLeftCell="R18" zoomScale="71" zoomScaleNormal="70" workbookViewId="0">
      <selection activeCell="AW32" sqref="AW32"/>
    </sheetView>
  </sheetViews>
  <sheetFormatPr defaultColWidth="8.875" defaultRowHeight="16.5" x14ac:dyDescent="0.25"/>
  <cols>
    <col min="1" max="16" width="10.75" customWidth="1"/>
  </cols>
  <sheetData>
    <row r="1" spans="1:16" x14ac:dyDescent="0.25">
      <c r="A1" s="31" t="s">
        <v>16</v>
      </c>
    </row>
    <row r="4" spans="1:16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ht="17.45" customHeigh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x14ac:dyDescent="0.25">
      <c r="A31" s="31" t="s">
        <v>17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1:16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6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1:16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spans="1:16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16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理論值</vt:lpstr>
      <vt:lpstr>程式預測</vt:lpstr>
      <vt:lpstr>程式試驗</vt:lpstr>
      <vt:lpstr>田口法</vt:lpstr>
      <vt:lpstr>數據分析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wego80712@gmail.com</dc:creator>
  <cp:lastModifiedBy>wego80712@gmail.com</cp:lastModifiedBy>
  <dcterms:created xsi:type="dcterms:W3CDTF">2024-11-16T11:18:00Z</dcterms:created>
  <dcterms:modified xsi:type="dcterms:W3CDTF">2025-05-16T13:33:11Z</dcterms:modified>
</cp:coreProperties>
</file>